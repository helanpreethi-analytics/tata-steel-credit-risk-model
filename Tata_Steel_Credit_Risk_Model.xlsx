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d.docs.live.net/6ee57e6e14e52454/Documents/"/>
    </mc:Choice>
  </mc:AlternateContent>
  <xr:revisionPtr revIDLastSave="0" documentId="8_{2A6D682B-FC14-492F-99B3-D07CE3463B8E}" xr6:coauthVersionLast="47" xr6:coauthVersionMax="47" xr10:uidLastSave="{00000000-0000-0000-0000-000000000000}"/>
  <bookViews>
    <workbookView xWindow="-108" yWindow="-108" windowWidth="23256" windowHeight="12456" firstSheet="7" activeTab="7" xr2:uid="{F31EEC50-2DF9-41FD-8E7B-28670682E1B2}"/>
  </bookViews>
  <sheets>
    <sheet name="COVER" sheetId="9" r:id="rId1"/>
    <sheet name="INPUTS" sheetId="10" r:id="rId2"/>
    <sheet name="RATIOS" sheetId="11" r:id="rId3"/>
    <sheet name="ZSCORE" sheetId="12" r:id="rId4"/>
    <sheet name="STRESS_TEST" sheetId="13" r:id="rId5"/>
    <sheet name="PEER_COMP" sheetId="14" r:id="rId6"/>
    <sheet name="DASHBOARD" sheetId="15" r:id="rId7"/>
    <sheet name="Account statement" sheetId="17" r:id="rId8"/>
    <sheet name="Sheet8" sheetId="16" state="hidden" r:id="rId9"/>
  </sheets>
  <externalReferences>
    <externalReference r:id="rId10"/>
  </externalReferences>
  <definedNames>
    <definedName name="ad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5" l="1"/>
  <c r="D5" i="15"/>
  <c r="E5" i="15"/>
  <c r="I3" i="14"/>
  <c r="B24" i="9"/>
  <c r="E8" i="15"/>
  <c r="C12" i="15"/>
  <c r="E12" i="15"/>
  <c r="C13" i="15"/>
  <c r="E13" i="15"/>
  <c r="C14" i="15"/>
  <c r="E14" i="15"/>
  <c r="C15" i="15"/>
  <c r="E15" i="15"/>
  <c r="C16" i="15"/>
  <c r="E16" i="15"/>
  <c r="G3" i="14"/>
  <c r="H3" i="14"/>
  <c r="G4" i="14"/>
  <c r="H4" i="14"/>
  <c r="I4" i="14"/>
  <c r="G5" i="14"/>
  <c r="H5" i="14"/>
  <c r="I5" i="14"/>
  <c r="G6" i="14"/>
  <c r="H6" i="14"/>
  <c r="I6" i="14"/>
  <c r="G7" i="14"/>
  <c r="H7" i="14"/>
  <c r="I7" i="14"/>
  <c r="B7" i="13"/>
  <c r="C7" i="13"/>
  <c r="D7" i="13"/>
  <c r="B8" i="13"/>
  <c r="C8" i="13"/>
  <c r="D8" i="13"/>
  <c r="B9" i="13"/>
  <c r="C9" i="13"/>
  <c r="D9" i="13"/>
  <c r="B5" i="12"/>
  <c r="B9" i="12" s="1"/>
  <c r="B8" i="15" s="1"/>
  <c r="C5" i="11"/>
  <c r="F5" i="11"/>
  <c r="G5" i="11"/>
  <c r="C7" i="11"/>
  <c r="F7" i="11"/>
  <c r="G7" i="11"/>
  <c r="C9" i="11"/>
  <c r="F9" i="11"/>
  <c r="G9" i="11"/>
  <c r="C11" i="11"/>
  <c r="F11" i="11"/>
  <c r="G11" i="11"/>
  <c r="C13" i="11"/>
  <c r="F13" i="11"/>
  <c r="G13" i="11"/>
  <c r="B4" i="10"/>
  <c r="H8" i="15" s="1"/>
  <c r="A11" i="9"/>
  <c r="D13" i="9"/>
  <c r="D14" i="9"/>
  <c r="D15" i="9"/>
  <c r="D16" i="9"/>
  <c r="B10" i="13" l="1"/>
  <c r="G16" i="15" s="1"/>
  <c r="D10" i="13"/>
  <c r="I8" i="13" s="1"/>
  <c r="C10" i="13"/>
  <c r="H8" i="13" s="1"/>
  <c r="B7" i="12"/>
  <c r="B6" i="15" s="1"/>
  <c r="B11" i="12"/>
  <c r="B13" i="12"/>
  <c r="C11" i="13" l="1"/>
  <c r="H14" i="15" s="1"/>
  <c r="B11" i="13"/>
  <c r="H13" i="15" s="1"/>
  <c r="D11" i="13"/>
  <c r="H15" i="15" s="1"/>
  <c r="G8" i="13"/>
  <c r="G13" i="15"/>
  <c r="G14" i="15"/>
  <c r="G15" i="15"/>
</calcChain>
</file>

<file path=xl/sharedStrings.xml><?xml version="1.0" encoding="utf-8"?>
<sst xmlns="http://schemas.openxmlformats.org/spreadsheetml/2006/main" count="246" uniqueCount="184">
  <si>
    <t>CREDIT RISK ANALYSIS</t>
  </si>
  <si>
    <t>Altman Z-Score Model  |  Indian Steel Sector  |  FY2026</t>
  </si>
  <si>
    <t>COMPANY UNDER ANALYSIS</t>
  </si>
  <si>
    <t>Ticker Symbol</t>
  </si>
  <si>
    <t>Analysis Date</t>
  </si>
  <si>
    <t>Fiscal Year End</t>
  </si>
  <si>
    <t>Currency</t>
  </si>
  <si>
    <t>Credit Model</t>
  </si>
  <si>
    <t>Altman Z-Score (1968)</t>
  </si>
  <si>
    <t>Data Source</t>
  </si>
  <si>
    <t>Screener.in | NSE India</t>
  </si>
  <si>
    <t>Analyst</t>
  </si>
  <si>
    <t>HELAN PREETHI</t>
  </si>
  <si>
    <t>Status</t>
  </si>
  <si>
    <t>FINAL</t>
  </si>
  <si>
    <t>ALTMAN Z-SCORE RESULT</t>
  </si>
  <si>
    <t>For academic and analytical purposes only. Not investment advice.</t>
  </si>
  <si>
    <t>COMPANY FINANCIAL INPUTS</t>
  </si>
  <si>
    <t>Company Name</t>
  </si>
  <si>
    <t>Tata Steel Limited</t>
  </si>
  <si>
    <t>Type manually</t>
  </si>
  <si>
    <t>TATASTEEL</t>
  </si>
  <si>
    <t>NSE ticker symbol</t>
  </si>
  <si>
    <t>Automatic — today's date</t>
  </si>
  <si>
    <t>Currency Unit</t>
  </si>
  <si>
    <t>Crores INR</t>
  </si>
  <si>
    <t>── BALANCE SHEET ──</t>
  </si>
  <si>
    <t>──────────</t>
  </si>
  <si>
    <t>Total Current Assets</t>
  </si>
  <si>
    <t>Balance Sheet → Current Assets</t>
  </si>
  <si>
    <t>Total Current Liabilities</t>
  </si>
  <si>
    <t>Balance Sheet → Current Liabilities</t>
  </si>
  <si>
    <t>Total Assets</t>
  </si>
  <si>
    <t>Balance Sheet → Total Assets</t>
  </si>
  <si>
    <t>Total Liabilities</t>
  </si>
  <si>
    <t>Balance Sheet → Total Liabilities</t>
  </si>
  <si>
    <t>Retained Earnings (Reserves)</t>
  </si>
  <si>
    <t>Balance Sheet → Reserves &amp; Surplus</t>
  </si>
  <si>
    <t>── PROFIT &amp; LOSS ──</t>
  </si>
  <si>
    <t>Revenue (Net Sales)</t>
  </si>
  <si>
    <t>P&amp;L → Net Sales / Revenue</t>
  </si>
  <si>
    <t>EBIT (Operating Profit)</t>
  </si>
  <si>
    <t>P&amp;L → EBIT or Operating Profit</t>
  </si>
  <si>
    <t>── MARKET DATA ──</t>
  </si>
  <si>
    <t>Market Capitalisation</t>
  </si>
  <si>
    <t>Top of screener.in company page</t>
  </si>
  <si>
    <t>ALTMAN Z-SCORE COMPONENT RATIOS</t>
  </si>
  <si>
    <t xml:space="preserve">Ratio Name </t>
  </si>
  <si>
    <t xml:space="preserve">Formula Description </t>
  </si>
  <si>
    <t>Calculation</t>
  </si>
  <si>
    <t>Value</t>
  </si>
  <si>
    <t>Weight</t>
  </si>
  <si>
    <t>Weighted Score</t>
  </si>
  <si>
    <t>Interpretation</t>
  </si>
  <si>
    <t>Ratio 1 — X1</t>
  </si>
  <si>
    <t>Working Capital / Total Assets</t>
  </si>
  <si>
    <t>Ratio 2 — X2</t>
  </si>
  <si>
    <t>Retained Earnings / Total Assets</t>
  </si>
  <si>
    <t>Ratio 3 — X3</t>
  </si>
  <si>
    <t>EBIT / Total Assets</t>
  </si>
  <si>
    <t>Ratio 4 — X4</t>
  </si>
  <si>
    <t>Market Cap / Book Value of Total Liabilities</t>
  </si>
  <si>
    <t>Ratio 5 — X5</t>
  </si>
  <si>
    <t>Revenue / Total Assets (Asset Turnover)</t>
  </si>
  <si>
    <t>ALTMAN Z-SCORE — FINAL OUTPUT</t>
  </si>
  <si>
    <t>Z-Score Calculation</t>
  </si>
  <si>
    <t>Credit Zone</t>
  </si>
  <si>
    <t>Credit Grade (0-10 Scale)</t>
  </si>
  <si>
    <t>Implied Credit Rating</t>
  </si>
  <si>
    <t>Investment Recommendation</t>
  </si>
  <si>
    <t>STRESS TEST — SCENARIO ANALYSIS</t>
  </si>
  <si>
    <t xml:space="preserve">BASE CASE </t>
  </si>
  <si>
    <t xml:space="preserve">MILD RECESSION </t>
  </si>
  <si>
    <t>SEVERE RECESSION</t>
  </si>
  <si>
    <t>Revenue Shock %</t>
  </si>
  <si>
    <t>EBIT Margin Shock %</t>
  </si>
  <si>
    <t>Scenario</t>
  </si>
  <si>
    <t>Base</t>
  </si>
  <si>
    <t>Mild</t>
  </si>
  <si>
    <t>Severe</t>
  </si>
  <si>
    <t>Working Capital Shock %</t>
  </si>
  <si>
    <t>Distress Line</t>
  </si>
  <si>
    <t>Stressed Revenue</t>
  </si>
  <si>
    <t>Safe Line</t>
  </si>
  <si>
    <t>Stressed EBIT</t>
  </si>
  <si>
    <t>Z Score</t>
  </si>
  <si>
    <t>Stressed Working Capital</t>
  </si>
  <si>
    <t>Stressed Z-Score</t>
  </si>
  <si>
    <t>⚠️ Below 1.81 = Distress Zone | Above 2.99 = Safe Zone</t>
  </si>
  <si>
    <t>PEER COMPARISON — SECTOR Z-SCORE RANKING</t>
  </si>
  <si>
    <t>Company</t>
  </si>
  <si>
    <t>X1
(WC/TA)</t>
  </si>
  <si>
    <t>X2
(RE/TA)</t>
  </si>
  <si>
    <t>X3
(EBIT/TA)</t>
  </si>
  <si>
    <t>X4
(MktCap/TL)</t>
  </si>
  <si>
    <t>X5
(Rev/TA)</t>
  </si>
  <si>
    <t>Z-Score</t>
  </si>
  <si>
    <t>Credit Grade</t>
  </si>
  <si>
    <t>Rank</t>
  </si>
  <si>
    <t>Tata Steel</t>
  </si>
  <si>
    <t>JSW Steel</t>
  </si>
  <si>
    <t>SAIL</t>
  </si>
  <si>
    <t>Jindal Steel</t>
  </si>
  <si>
    <t>NMDC Steel</t>
  </si>
  <si>
    <t>TATA STEEL LIMITED — CREDIT RISK DASHBOARD</t>
  </si>
  <si>
    <t>Z-SCORE</t>
  </si>
  <si>
    <t>IMPLIED RATING</t>
  </si>
  <si>
    <t>RECOMMENDATION</t>
  </si>
  <si>
    <t>AAA/AA Rating</t>
  </si>
  <si>
    <t>Fiscal Year</t>
  </si>
  <si>
    <t>RATIO ANALYSIS SUMMARY</t>
  </si>
  <si>
    <t>Ratio</t>
  </si>
  <si>
    <t>STRESS TEST SUMMARY</t>
  </si>
  <si>
    <t>X1 — Working Capital/TA</t>
  </si>
  <si>
    <t>X2 — Retained Earnings/TA</t>
  </si>
  <si>
    <t>Base Case</t>
  </si>
  <si>
    <t>X3 — EBIT/TA</t>
  </si>
  <si>
    <t>Mild Recession</t>
  </si>
  <si>
    <t>X4 — Market Cap/Liabilities</t>
  </si>
  <si>
    <t>Severe Recession</t>
  </si>
  <si>
    <t>X5 — Revenue/TA</t>
  </si>
  <si>
    <t>Tata Steel Limited — AI Credit Commentary</t>
  </si>
  <si>
    <t>Tata Steel Limited presents a Altman Z-Score of 2.08, placing the company firmly within the Grey Zone (1.81–2.99), which implies a speculative-grade credit profile equivalent to a BB/B rating and signals meaningful, though not imminent, financial stress. The component analysis reveals a bifurcated credit profile: while retained earnings strength (X2: 0.340) reflects accumulated profitability and provides a degree of balance sheet resilience, the negative working capital ratio (X1: -0.071) and a market capitalisation-to-liabilities ratio of 0.871 (X4) indicate both near-term liquidity strain and market-implied solvency concerns. Operational efficiency metrics remain moderate, with an EBIT/Total Assets ratio of 0.116 and asset turnover of 0.783, suggesting the company generates adequate but sub-optimal returns on its asset base relative to investment-grade peers — a position corroborated by its 3rd-place ranking among five comparable Indian steel companies. Stress testing underscores material downside risk, with the Z-Score deteriorating from 2.08 under base conditions to 1.96 under a mild recession scenario and further to 1.83 under severe stress — the latter approaching the lower boundary of the Grey Zone and signalling potential migration toward Distress territory; accordingly, a Neutral stance is warranted with a recommendation to monitor for further deterioration and limit incremental credit exposure.</t>
  </si>
  <si>
    <t>Data Source: Screener.in | NSE India | Fiscal Year: FY2026 | Model: Altman Z-Score (1968)</t>
  </si>
  <si>
    <t>Balance Sheet</t>
  </si>
  <si>
    <t>Profit &amp; Loss</t>
  </si>
  <si>
    <t>Peer Comparison Table</t>
  </si>
  <si>
    <t>What to Look For</t>
  </si>
  <si>
    <t>Equity Capital</t>
  </si>
  <si>
    <t>Sales +</t>
  </si>
  <si>
    <t>1 Current Assets</t>
  </si>
  <si>
    <t>Reserves</t>
  </si>
  <si>
    <t>Expenses +</t>
  </si>
  <si>
    <t>2 Current Liabilities</t>
  </si>
  <si>
    <t>Borrowings +</t>
  </si>
  <si>
    <t>Operating Profit</t>
  </si>
  <si>
    <t>3 Total Assets</t>
  </si>
  <si>
    <t>Other Liabilities -</t>
  </si>
  <si>
    <t>OPM %</t>
  </si>
  <si>
    <t>4 Retained Earnings (Reserves &amp; Surplus)</t>
  </si>
  <si>
    <t>Non controlling int</t>
  </si>
  <si>
    <t>Other Income +</t>
  </si>
  <si>
    <t>5 EBIT (Operating Profit)</t>
  </si>
  <si>
    <t>Trade Payables</t>
  </si>
  <si>
    <t>Interest</t>
  </si>
  <si>
    <t>6 Revenue (Net Sales)</t>
  </si>
  <si>
    <t>Advance from Customers</t>
  </si>
  <si>
    <t>Depreciation</t>
  </si>
  <si>
    <t>7 Market Capitalisation</t>
  </si>
  <si>
    <t>Other liability items</t>
  </si>
  <si>
    <t>Profit before tax</t>
  </si>
  <si>
    <t>8 Total Liabilities</t>
  </si>
  <si>
    <t>Tax %</t>
  </si>
  <si>
    <t>Fixed Assets +</t>
  </si>
  <si>
    <t>Net Profit +</t>
  </si>
  <si>
    <t>CWIP</t>
  </si>
  <si>
    <t>EPS in Rs</t>
  </si>
  <si>
    <t>Investments</t>
  </si>
  <si>
    <t>Dividend Payout %</t>
  </si>
  <si>
    <t>Other Assets -</t>
  </si>
  <si>
    <t>Inventories</t>
  </si>
  <si>
    <t>Trade receivables +</t>
  </si>
  <si>
    <t>Consolidated Figures in Rs. Crores / View Standalone</t>
  </si>
  <si>
    <t>Cash Equivalents</t>
  </si>
  <si>
    <t>Loans n Advances</t>
  </si>
  <si>
    <t>Other asset items</t>
  </si>
  <si>
    <t>Current Assets</t>
  </si>
  <si>
    <t>Corporate actions</t>
  </si>
  <si>
    <t> Related Party Product Segments</t>
  </si>
  <si>
    <t>Current Liabilities</t>
  </si>
  <si>
    <r>
      <t>Sales </t>
    </r>
    <r>
      <rPr>
        <b/>
        <sz val="11"/>
        <color rgb="FF665EFD"/>
        <rFont val="Arial"/>
        <family val="2"/>
      </rPr>
      <t>+</t>
    </r>
  </si>
  <si>
    <t>Retained Earnings (Reserves &amp; Surplus)</t>
  </si>
  <si>
    <r>
      <t>Expenses </t>
    </r>
    <r>
      <rPr>
        <sz val="11"/>
        <color rgb="FF665EFD"/>
        <rFont val="Arial"/>
        <family val="2"/>
      </rPr>
      <t>+</t>
    </r>
  </si>
  <si>
    <r>
      <t>Borrowings </t>
    </r>
    <r>
      <rPr>
        <sz val="11"/>
        <color rgb="FF665EFD"/>
        <rFont val="Arial"/>
        <family val="2"/>
      </rPr>
      <t>+</t>
    </r>
  </si>
  <si>
    <r>
      <t>Other Liabilities </t>
    </r>
    <r>
      <rPr>
        <sz val="11"/>
        <color rgb="FF665EFD"/>
        <rFont val="Arial"/>
        <family val="2"/>
      </rPr>
      <t>-</t>
    </r>
  </si>
  <si>
    <r>
      <t>3,13,996</t>
    </r>
    <r>
      <rPr>
        <b/>
        <sz val="10"/>
        <color theme="1"/>
        <rFont val="Arial"/>
        <family val="2"/>
      </rPr>
      <t> </t>
    </r>
  </si>
  <si>
    <r>
      <t>78,711</t>
    </r>
    <r>
      <rPr>
        <b/>
        <sz val="10"/>
        <color theme="1"/>
        <rFont val="Arial"/>
        <family val="2"/>
      </rPr>
      <t> </t>
    </r>
  </si>
  <si>
    <r>
      <t>1,20,503</t>
    </r>
    <r>
      <rPr>
        <b/>
        <sz val="10"/>
        <color theme="1"/>
        <rFont val="Arial"/>
        <family val="2"/>
      </rPr>
      <t> </t>
    </r>
  </si>
  <si>
    <r>
      <t>14,641</t>
    </r>
    <r>
      <rPr>
        <b/>
        <sz val="10"/>
        <color theme="1"/>
        <rFont val="Arial"/>
        <family val="2"/>
      </rPr>
      <t> </t>
    </r>
  </si>
  <si>
    <r>
      <t>Other Income </t>
    </r>
    <r>
      <rPr>
        <sz val="11"/>
        <color rgb="FF665EFD"/>
        <rFont val="Arial"/>
        <family val="2"/>
      </rPr>
      <t>+</t>
    </r>
  </si>
  <si>
    <r>
      <t>Fixed Assets </t>
    </r>
    <r>
      <rPr>
        <sz val="11"/>
        <color rgb="FF665EFD"/>
        <rFont val="Arial"/>
        <family val="2"/>
      </rPr>
      <t>+</t>
    </r>
  </si>
  <si>
    <r>
      <t>Net Profit </t>
    </r>
    <r>
      <rPr>
        <sz val="11"/>
        <color rgb="FF665EFD"/>
        <rFont val="Arial"/>
        <family val="2"/>
      </rPr>
      <t>+</t>
    </r>
  </si>
  <si>
    <r>
      <t>Other Assets </t>
    </r>
    <r>
      <rPr>
        <sz val="11"/>
        <color rgb="FF665EFD"/>
        <rFont val="Arial"/>
        <family val="2"/>
      </rPr>
      <t>-</t>
    </r>
  </si>
  <si>
    <r>
      <t>Trade receivables </t>
    </r>
    <r>
      <rPr>
        <sz val="11"/>
        <color rgb="FF665EFD"/>
        <rFont val="Arial"/>
        <family val="2"/>
      </rPr>
      <t>+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</si>
</sst>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[$-F800]dddd\,\ mmmm\ dd\,\ yyyy"/>
  </numFmts>
  <fonts count="63">
    <font>
      <sz val="11"/>
      <color theme="1"/>
      <name val="Aptos Narrow"/>
      <family val="2"/>
      <scheme val="minor"/>
    </font>
    <font>
      <sz val="10"/>
      <color rgb="FF22222F"/>
      <name val="Arial"/>
      <family val="2"/>
    </font>
    <font>
      <sz val="18"/>
      <color rgb="FF22222F"/>
      <name val="Arial"/>
      <family val="2"/>
    </font>
    <font>
      <sz val="11"/>
      <color rgb="FF606F7B"/>
      <name val="Arial"/>
      <family val="2"/>
    </font>
    <font>
      <sz val="11"/>
      <color theme="1"/>
      <name val="Arial"/>
      <family val="2"/>
    </font>
    <font>
      <sz val="11"/>
      <color rgb="FF665EFD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rgb="FF665EFD"/>
      <name val="Arial"/>
      <family val="2"/>
    </font>
    <font>
      <sz val="9"/>
      <color rgb="FF606F7B"/>
      <name val="Arial"/>
      <family val="2"/>
    </font>
    <font>
      <b/>
      <sz val="14"/>
      <color theme="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4"/>
      <color theme="0"/>
      <name val="Arial"/>
      <family val="2"/>
    </font>
    <font>
      <b/>
      <sz val="10"/>
      <color rgb="FFF0E68C"/>
      <name val="Courier New"/>
      <family val="3"/>
    </font>
    <font>
      <sz val="11"/>
      <name val="Arial"/>
      <family val="2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  <font>
      <b/>
      <sz val="12"/>
      <color theme="1"/>
      <name val="Bahnschrift"/>
      <family val="2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22222F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FF9900"/>
      <name val="Arial"/>
      <family val="2"/>
    </font>
    <font>
      <b/>
      <sz val="11"/>
      <color rgb="FFFF0000"/>
      <name val="Arial"/>
      <family val="2"/>
    </font>
    <font>
      <b/>
      <sz val="14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8"/>
      <color rgb="FFFFFFFF"/>
      <name val="Arial"/>
      <family val="2"/>
    </font>
    <font>
      <sz val="14"/>
      <color rgb="FFFFFFFF"/>
      <name val="Arial"/>
      <family val="2"/>
    </font>
    <font>
      <b/>
      <sz val="10"/>
      <color rgb="FF888888"/>
      <name val="Arial"/>
      <family val="2"/>
    </font>
    <font>
      <b/>
      <sz val="22"/>
      <color rgb="FF1F3864"/>
      <name val="Arial"/>
      <family val="2"/>
    </font>
    <font>
      <b/>
      <sz val="11"/>
      <color rgb="FF555555"/>
      <name val="Arial"/>
      <family val="2"/>
    </font>
    <font>
      <sz val="11"/>
      <color rgb="FF1F3864"/>
      <name val="Arial"/>
      <family val="2"/>
    </font>
    <font>
      <b/>
      <sz val="11"/>
      <color rgb="FFFFFFFF"/>
      <name val="Arial"/>
      <family val="2"/>
    </font>
    <font>
      <i/>
      <sz val="9"/>
      <color rgb="FFAAAAAA"/>
      <name val="Arial"/>
      <family val="2"/>
    </font>
    <font>
      <sz val="11"/>
      <color theme="0"/>
      <name val="Aptos Narrow"/>
      <family val="2"/>
      <scheme val="minor"/>
    </font>
    <font>
      <b/>
      <sz val="10"/>
      <name val="Courier New"/>
      <family val="3"/>
    </font>
    <font>
      <sz val="11"/>
      <name val="Aptos Narrow"/>
      <family val="2"/>
      <scheme val="minor"/>
    </font>
    <font>
      <b/>
      <sz val="10"/>
      <color theme="1"/>
      <name val="Courier New"/>
      <family val="3"/>
    </font>
    <font>
      <b/>
      <sz val="13"/>
      <color theme="0"/>
      <name val="Arial"/>
      <family val="2"/>
    </font>
    <font>
      <b/>
      <sz val="11"/>
      <color theme="0"/>
      <name val="Arial"/>
      <family val="2"/>
    </font>
    <font>
      <b/>
      <sz val="28"/>
      <color theme="0"/>
      <name val="Courier New"/>
      <family val="3"/>
    </font>
    <font>
      <b/>
      <sz val="10"/>
      <color theme="0"/>
      <name val="Courier New"/>
      <family val="3"/>
    </font>
    <font>
      <b/>
      <i/>
      <sz val="11"/>
      <color theme="1"/>
      <name val="Aptos Narrow"/>
      <family val="2"/>
      <scheme val="minor"/>
    </font>
    <font>
      <b/>
      <sz val="22"/>
      <color theme="0"/>
      <name val="Times New Roman"/>
      <family val="1"/>
    </font>
    <font>
      <b/>
      <sz val="36"/>
      <color theme="5" tint="-0.249977111117893"/>
      <name val="Times New Roman"/>
      <family val="1"/>
    </font>
    <font>
      <b/>
      <sz val="36"/>
      <color theme="8" tint="-0.249977111117893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Aptos Narrow"/>
      <family val="2"/>
      <scheme val="minor"/>
    </font>
    <font>
      <i/>
      <sz val="14"/>
      <color theme="1"/>
      <name val="Times New Roman"/>
      <family val="1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8"/>
      <color rgb="FF006100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8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003366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2E75B6"/>
      </patternFill>
    </fill>
    <fill>
      <patternFill patternType="solid">
        <fgColor rgb="FFC9A84C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6" tint="0.59999389629810485"/>
        <bgColor indexed="65"/>
      </patternFill>
    </fill>
  </fills>
  <borders count="32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D9D9D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57" fillId="31" borderId="0" applyNumberFormat="0" applyBorder="0" applyAlignment="0" applyProtection="0"/>
    <xf numFmtId="0" fontId="56" fillId="32" borderId="0" applyNumberFormat="0" applyBorder="0" applyAlignment="0" applyProtection="0"/>
  </cellStyleXfs>
  <cellXfs count="187">
    <xf numFmtId="0" fontId="0" fillId="0" borderId="0" xfId="0"/>
    <xf numFmtId="0" fontId="4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6" fillId="0" borderId="0" xfId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17" fontId="3" fillId="2" borderId="1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3" fontId="4" fillId="3" borderId="0" xfId="0" applyNumberFormat="1" applyFont="1" applyFill="1" applyAlignment="1">
      <alignment horizontal="right" vertical="center"/>
    </xf>
    <xf numFmtId="3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3" fontId="7" fillId="2" borderId="0" xfId="0" applyNumberFormat="1" applyFont="1" applyFill="1" applyAlignment="1">
      <alignment horizontal="right" vertical="center"/>
    </xf>
    <xf numFmtId="9" fontId="4" fillId="2" borderId="0" xfId="0" applyNumberFormat="1" applyFont="1" applyFill="1" applyAlignment="1">
      <alignment horizontal="right" vertical="center"/>
    </xf>
    <xf numFmtId="9" fontId="4" fillId="3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horizontal="left" vertical="center"/>
    </xf>
    <xf numFmtId="3" fontId="7" fillId="3" borderId="0" xfId="0" applyNumberFormat="1" applyFont="1" applyFill="1" applyAlignment="1">
      <alignment horizontal="right" vertical="center"/>
    </xf>
    <xf numFmtId="0" fontId="11" fillId="2" borderId="3" xfId="0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left" vertical="center" wrapText="1" indent="1"/>
    </xf>
    <xf numFmtId="0" fontId="11" fillId="5" borderId="5" xfId="0" applyFont="1" applyFill="1" applyBorder="1" applyAlignment="1">
      <alignment horizontal="left" vertical="center" wrapText="1" indent="1"/>
    </xf>
    <xf numFmtId="0" fontId="11" fillId="5" borderId="6" xfId="0" applyFont="1" applyFill="1" applyBorder="1" applyAlignment="1">
      <alignment horizontal="left" vertical="center" wrapText="1" indent="1"/>
    </xf>
    <xf numFmtId="0" fontId="11" fillId="2" borderId="5" xfId="0" applyFont="1" applyFill="1" applyBorder="1" applyAlignment="1">
      <alignment horizontal="left" vertical="center" wrapText="1" indent="1"/>
    </xf>
    <xf numFmtId="14" fontId="11" fillId="2" borderId="6" xfId="0" applyNumberFormat="1" applyFont="1" applyFill="1" applyBorder="1" applyAlignment="1">
      <alignment horizontal="left" vertical="center" wrapText="1" indent="1"/>
    </xf>
    <xf numFmtId="0" fontId="11" fillId="5" borderId="3" xfId="0" applyFont="1" applyFill="1" applyBorder="1" applyAlignment="1">
      <alignment horizontal="left" vertical="center" wrapText="1" indent="1"/>
    </xf>
    <xf numFmtId="0" fontId="11" fillId="5" borderId="4" xfId="0" applyFont="1" applyFill="1" applyBorder="1" applyAlignment="1">
      <alignment horizontal="left" vertical="center" wrapText="1" indent="1"/>
    </xf>
    <xf numFmtId="0" fontId="11" fillId="2" borderId="6" xfId="0" applyFont="1" applyFill="1" applyBorder="1" applyAlignment="1">
      <alignment horizontal="left" vertical="center" wrapText="1" indent="1"/>
    </xf>
    <xf numFmtId="17" fontId="11" fillId="2" borderId="6" xfId="0" applyNumberFormat="1" applyFont="1" applyFill="1" applyBorder="1" applyAlignment="1">
      <alignment horizontal="left" vertical="center" wrapText="1" indent="1"/>
    </xf>
    <xf numFmtId="3" fontId="12" fillId="5" borderId="6" xfId="0" applyNumberFormat="1" applyFont="1" applyFill="1" applyBorder="1" applyAlignment="1">
      <alignment horizontal="right" vertical="center" wrapText="1" indent="1"/>
    </xf>
    <xf numFmtId="0" fontId="18" fillId="0" borderId="0" xfId="0" applyFont="1"/>
    <xf numFmtId="0" fontId="24" fillId="16" borderId="9" xfId="0" applyFont="1" applyFill="1" applyBorder="1" applyAlignment="1">
      <alignment horizontal="center" vertical="center" wrapText="1"/>
    </xf>
    <xf numFmtId="0" fontId="12" fillId="14" borderId="9" xfId="0" applyFont="1" applyFill="1" applyBorder="1" applyAlignment="1">
      <alignment horizontal="left" vertical="center"/>
    </xf>
    <xf numFmtId="164" fontId="25" fillId="14" borderId="9" xfId="0" applyNumberFormat="1" applyFont="1" applyFill="1" applyBorder="1" applyAlignment="1">
      <alignment horizontal="center" vertical="center"/>
    </xf>
    <xf numFmtId="165" fontId="12" fillId="14" borderId="9" xfId="0" applyNumberFormat="1" applyFont="1" applyFill="1" applyBorder="1" applyAlignment="1">
      <alignment horizontal="center" vertical="center"/>
    </xf>
    <xf numFmtId="0" fontId="26" fillId="13" borderId="9" xfId="0" applyFont="1" applyFill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12" fillId="17" borderId="9" xfId="0" applyFont="1" applyFill="1" applyBorder="1" applyAlignment="1">
      <alignment horizontal="left" vertical="center"/>
    </xf>
    <xf numFmtId="164" fontId="25" fillId="17" borderId="9" xfId="0" applyNumberFormat="1" applyFont="1" applyFill="1" applyBorder="1" applyAlignment="1">
      <alignment horizontal="center" vertical="center"/>
    </xf>
    <xf numFmtId="165" fontId="12" fillId="17" borderId="9" xfId="0" applyNumberFormat="1" applyFont="1" applyFill="1" applyBorder="1" applyAlignment="1">
      <alignment horizontal="center" vertical="center"/>
    </xf>
    <xf numFmtId="0" fontId="12" fillId="17" borderId="9" xfId="0" applyFont="1" applyFill="1" applyBorder="1" applyAlignment="1">
      <alignment horizontal="center" vertical="center"/>
    </xf>
    <xf numFmtId="0" fontId="27" fillId="12" borderId="9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/>
    <xf numFmtId="0" fontId="19" fillId="0" borderId="8" xfId="0" applyFont="1" applyBorder="1"/>
    <xf numFmtId="0" fontId="0" fillId="0" borderId="0" xfId="0" applyAlignment="1">
      <alignment vertical="center"/>
    </xf>
    <xf numFmtId="3" fontId="20" fillId="3" borderId="8" xfId="0" applyNumberFormat="1" applyFont="1" applyFill="1" applyBorder="1"/>
    <xf numFmtId="3" fontId="22" fillId="0" borderId="8" xfId="0" applyNumberFormat="1" applyFont="1" applyBorder="1"/>
    <xf numFmtId="3" fontId="20" fillId="2" borderId="8" xfId="0" applyNumberFormat="1" applyFont="1" applyFill="1" applyBorder="1"/>
    <xf numFmtId="3" fontId="21" fillId="5" borderId="8" xfId="0" applyNumberFormat="1" applyFont="1" applyFill="1" applyBorder="1"/>
    <xf numFmtId="0" fontId="22" fillId="0" borderId="8" xfId="0" applyFont="1" applyBorder="1"/>
    <xf numFmtId="0" fontId="9" fillId="0" borderId="0" xfId="0" applyFont="1"/>
    <xf numFmtId="0" fontId="29" fillId="0" borderId="0" xfId="0" applyFont="1"/>
    <xf numFmtId="0" fontId="30" fillId="0" borderId="0" xfId="0" applyFont="1"/>
    <xf numFmtId="0" fontId="39" fillId="0" borderId="0" xfId="0" applyFont="1"/>
    <xf numFmtId="0" fontId="0" fillId="0" borderId="8" xfId="0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24" fillId="0" borderId="7" xfId="0" applyFont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0" fillId="0" borderId="19" xfId="0" applyBorder="1"/>
    <xf numFmtId="0" fontId="39" fillId="0" borderId="21" xfId="0" applyFont="1" applyBorder="1"/>
    <xf numFmtId="0" fontId="17" fillId="0" borderId="22" xfId="0" applyFont="1" applyBorder="1" applyAlignment="1">
      <alignment horizontal="left" vertical="center"/>
    </xf>
    <xf numFmtId="2" fontId="45" fillId="21" borderId="23" xfId="0" applyNumberFormat="1" applyFont="1" applyFill="1" applyBorder="1" applyAlignment="1">
      <alignment horizontal="left" vertical="center" wrapText="1" indent="2"/>
    </xf>
    <xf numFmtId="0" fontId="42" fillId="0" borderId="23" xfId="0" applyFont="1" applyBorder="1" applyAlignment="1">
      <alignment horizontal="left" vertical="center" wrapText="1" indent="2"/>
    </xf>
    <xf numFmtId="0" fontId="46" fillId="21" borderId="23" xfId="0" applyFont="1" applyFill="1" applyBorder="1" applyAlignment="1">
      <alignment horizontal="left" vertical="center" wrapText="1" indent="2"/>
    </xf>
    <xf numFmtId="0" fontId="42" fillId="24" borderId="26" xfId="0" applyFont="1" applyFill="1" applyBorder="1" applyAlignment="1">
      <alignment horizontal="left" vertical="center" wrapText="1" indent="2"/>
    </xf>
    <xf numFmtId="0" fontId="7" fillId="25" borderId="22" xfId="0" applyFont="1" applyFill="1" applyBorder="1" applyAlignment="1">
      <alignment horizontal="left" vertical="center"/>
    </xf>
    <xf numFmtId="0" fontId="7" fillId="25" borderId="24" xfId="0" applyFont="1" applyFill="1" applyBorder="1" applyAlignment="1">
      <alignment horizontal="left" vertical="center"/>
    </xf>
    <xf numFmtId="2" fontId="0" fillId="0" borderId="8" xfId="0" applyNumberFormat="1" applyBorder="1" applyAlignment="1">
      <alignment vertical="center" wrapText="1"/>
    </xf>
    <xf numFmtId="0" fontId="0" fillId="0" borderId="8" xfId="0" applyBorder="1"/>
    <xf numFmtId="0" fontId="7" fillId="11" borderId="8" xfId="0" applyFont="1" applyFill="1" applyBorder="1"/>
    <xf numFmtId="0" fontId="7" fillId="10" borderId="8" xfId="0" applyFont="1" applyFill="1" applyBorder="1"/>
    <xf numFmtId="0" fontId="7" fillId="9" borderId="8" xfId="0" applyFont="1" applyFill="1" applyBorder="1"/>
    <xf numFmtId="0" fontId="21" fillId="2" borderId="8" xfId="0" applyFont="1" applyFill="1" applyBorder="1" applyAlignment="1">
      <alignment horizontal="left" vertical="center" indent="1"/>
    </xf>
    <xf numFmtId="9" fontId="0" fillId="0" borderId="8" xfId="0" applyNumberFormat="1" applyBorder="1"/>
    <xf numFmtId="0" fontId="21" fillId="5" borderId="8" xfId="0" applyFont="1" applyFill="1" applyBorder="1" applyAlignment="1">
      <alignment horizontal="left" vertical="center" indent="1"/>
    </xf>
    <xf numFmtId="3" fontId="0" fillId="0" borderId="8" xfId="0" applyNumberFormat="1" applyBorder="1"/>
    <xf numFmtId="0" fontId="16" fillId="0" borderId="8" xfId="0" applyFont="1" applyBorder="1"/>
    <xf numFmtId="2" fontId="0" fillId="0" borderId="8" xfId="0" applyNumberFormat="1" applyBorder="1"/>
    <xf numFmtId="0" fontId="44" fillId="22" borderId="8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8" xfId="0" applyFont="1" applyBorder="1" applyAlignment="1">
      <alignment vertical="center"/>
    </xf>
    <xf numFmtId="0" fontId="40" fillId="0" borderId="8" xfId="0" applyFont="1" applyBorder="1"/>
    <xf numFmtId="0" fontId="41" fillId="0" borderId="8" xfId="0" applyFont="1" applyBorder="1"/>
    <xf numFmtId="0" fontId="15" fillId="0" borderId="8" xfId="0" applyFont="1" applyBorder="1"/>
    <xf numFmtId="0" fontId="14" fillId="7" borderId="8" xfId="0" applyFont="1" applyFill="1" applyBorder="1" applyAlignment="1">
      <alignment horizontal="left" vertical="center" wrapText="1" indent="2"/>
    </xf>
    <xf numFmtId="0" fontId="15" fillId="0" borderId="8" xfId="0" applyFont="1" applyBorder="1" applyAlignment="1">
      <alignment vertical="center"/>
    </xf>
    <xf numFmtId="0" fontId="40" fillId="0" borderId="8" xfId="0" applyFont="1" applyBorder="1" applyAlignment="1">
      <alignment horizontal="left" vertical="center" wrapText="1" indent="2"/>
    </xf>
    <xf numFmtId="0" fontId="14" fillId="8" borderId="8" xfId="0" applyFont="1" applyFill="1" applyBorder="1" applyAlignment="1">
      <alignment wrapText="1"/>
    </xf>
    <xf numFmtId="0" fontId="12" fillId="27" borderId="9" xfId="0" applyFont="1" applyFill="1" applyBorder="1" applyAlignment="1">
      <alignment horizontal="left" vertical="center"/>
    </xf>
    <xf numFmtId="164" fontId="25" fillId="27" borderId="9" xfId="0" applyNumberFormat="1" applyFont="1" applyFill="1" applyBorder="1" applyAlignment="1">
      <alignment horizontal="center" vertical="center"/>
    </xf>
    <xf numFmtId="165" fontId="12" fillId="27" borderId="9" xfId="0" applyNumberFormat="1" applyFont="1" applyFill="1" applyBorder="1" applyAlignment="1">
      <alignment horizontal="center" vertical="center"/>
    </xf>
    <xf numFmtId="0" fontId="26" fillId="27" borderId="9" xfId="0" applyFont="1" applyFill="1" applyBorder="1" applyAlignment="1">
      <alignment horizontal="center" vertical="center"/>
    </xf>
    <xf numFmtId="0" fontId="12" fillId="27" borderId="9" xfId="0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50" fillId="29" borderId="8" xfId="0" applyFont="1" applyFill="1" applyBorder="1" applyAlignment="1">
      <alignment horizontal="center" vertical="center"/>
    </xf>
    <xf numFmtId="0" fontId="51" fillId="0" borderId="0" xfId="0" applyFont="1"/>
    <xf numFmtId="0" fontId="52" fillId="0" borderId="8" xfId="0" applyFont="1" applyBorder="1"/>
    <xf numFmtId="0" fontId="51" fillId="0" borderId="8" xfId="0" applyFont="1" applyBorder="1"/>
    <xf numFmtId="0" fontId="51" fillId="0" borderId="0" xfId="0" applyFont="1" applyAlignment="1">
      <alignment vertical="center"/>
    </xf>
    <xf numFmtId="0" fontId="51" fillId="0" borderId="17" xfId="0" applyFont="1" applyBorder="1" applyAlignment="1">
      <alignment horizontal="right"/>
    </xf>
    <xf numFmtId="0" fontId="51" fillId="0" borderId="30" xfId="0" applyFont="1" applyBorder="1"/>
    <xf numFmtId="166" fontId="51" fillId="0" borderId="11" xfId="0" applyNumberFormat="1" applyFont="1" applyBorder="1"/>
    <xf numFmtId="0" fontId="51" fillId="0" borderId="11" xfId="0" applyFont="1" applyBorder="1"/>
    <xf numFmtId="0" fontId="52" fillId="0" borderId="28" xfId="0" applyFont="1" applyBorder="1"/>
    <xf numFmtId="17" fontId="52" fillId="0" borderId="8" xfId="0" applyNumberFormat="1" applyFont="1" applyBorder="1" applyAlignment="1">
      <alignment vertical="center"/>
    </xf>
    <xf numFmtId="0" fontId="52" fillId="0" borderId="29" xfId="0" applyFont="1" applyBorder="1"/>
    <xf numFmtId="14" fontId="52" fillId="0" borderId="8" xfId="0" applyNumberFormat="1" applyFont="1" applyBorder="1"/>
    <xf numFmtId="0" fontId="52" fillId="0" borderId="0" xfId="0" applyFont="1"/>
    <xf numFmtId="0" fontId="28" fillId="6" borderId="0" xfId="0" applyFont="1" applyFill="1"/>
    <xf numFmtId="0" fontId="28" fillId="9" borderId="8" xfId="0" applyFont="1" applyFill="1" applyBorder="1"/>
    <xf numFmtId="0" fontId="52" fillId="0" borderId="18" xfId="0" applyFont="1" applyBorder="1"/>
    <xf numFmtId="0" fontId="52" fillId="0" borderId="17" xfId="0" applyFont="1" applyBorder="1"/>
    <xf numFmtId="0" fontId="51" fillId="0" borderId="28" xfId="0" applyFont="1" applyBorder="1" applyAlignment="1">
      <alignment vertical="center" wrapText="1"/>
    </xf>
    <xf numFmtId="0" fontId="53" fillId="0" borderId="8" xfId="0" applyFont="1" applyBorder="1"/>
    <xf numFmtId="0" fontId="51" fillId="0" borderId="8" xfId="0" applyFont="1" applyBorder="1" applyAlignment="1">
      <alignment vertical="center" wrapText="1"/>
    </xf>
    <xf numFmtId="0" fontId="51" fillId="0" borderId="27" xfId="0" applyFont="1" applyBorder="1" applyAlignment="1">
      <alignment vertical="center" wrapText="1"/>
    </xf>
    <xf numFmtId="0" fontId="51" fillId="0" borderId="14" xfId="0" applyFont="1" applyBorder="1" applyAlignment="1">
      <alignment vertical="center" wrapText="1"/>
    </xf>
    <xf numFmtId="0" fontId="53" fillId="0" borderId="31" xfId="0" applyFont="1" applyBorder="1"/>
    <xf numFmtId="0" fontId="51" fillId="0" borderId="31" xfId="0" applyFont="1" applyBorder="1" applyAlignment="1">
      <alignment vertical="center" wrapText="1"/>
    </xf>
    <xf numFmtId="0" fontId="51" fillId="0" borderId="12" xfId="0" applyFont="1" applyBorder="1" applyAlignment="1">
      <alignment vertical="center" wrapText="1"/>
    </xf>
    <xf numFmtId="0" fontId="49" fillId="24" borderId="28" xfId="0" applyFont="1" applyFill="1" applyBorder="1" applyAlignment="1">
      <alignment vertical="center"/>
    </xf>
    <xf numFmtId="0" fontId="30" fillId="0" borderId="0" xfId="0" applyFont="1" applyAlignment="1">
      <alignment horizontal="center" vertical="center"/>
    </xf>
    <xf numFmtId="0" fontId="52" fillId="24" borderId="28" xfId="0" applyFont="1" applyFill="1" applyBorder="1" applyAlignment="1">
      <alignment horizontal="center" vertical="center"/>
    </xf>
    <xf numFmtId="0" fontId="52" fillId="29" borderId="8" xfId="0" applyFont="1" applyFill="1" applyBorder="1" applyAlignment="1">
      <alignment horizontal="center" vertical="center"/>
    </xf>
    <xf numFmtId="0" fontId="52" fillId="30" borderId="8" xfId="0" applyFont="1" applyFill="1" applyBorder="1" applyAlignment="1">
      <alignment horizontal="center" vertical="center"/>
    </xf>
    <xf numFmtId="0" fontId="52" fillId="24" borderId="8" xfId="0" applyFont="1" applyFill="1" applyBorder="1" applyAlignment="1">
      <alignment horizontal="center" vertical="center"/>
    </xf>
    <xf numFmtId="0" fontId="49" fillId="24" borderId="8" xfId="0" applyFont="1" applyFill="1" applyBorder="1" applyAlignment="1">
      <alignment vertical="center"/>
    </xf>
    <xf numFmtId="0" fontId="57" fillId="31" borderId="0" xfId="2" applyBorder="1"/>
    <xf numFmtId="0" fontId="59" fillId="31" borderId="20" xfId="2" applyFont="1" applyBorder="1"/>
    <xf numFmtId="0" fontId="57" fillId="31" borderId="22" xfId="2" applyBorder="1"/>
    <xf numFmtId="0" fontId="59" fillId="31" borderId="8" xfId="2" applyFont="1" applyBorder="1" applyAlignment="1">
      <alignment vertical="center"/>
    </xf>
    <xf numFmtId="0" fontId="59" fillId="31" borderId="8" xfId="2" applyFont="1" applyBorder="1"/>
    <xf numFmtId="0" fontId="57" fillId="31" borderId="8" xfId="2" applyBorder="1" applyAlignment="1">
      <alignment horizontal="center" vertical="center" wrapText="1"/>
    </xf>
    <xf numFmtId="17" fontId="57" fillId="31" borderId="8" xfId="2" applyNumberFormat="1" applyBorder="1" applyAlignment="1">
      <alignment horizontal="center" vertical="center" wrapText="1"/>
    </xf>
    <xf numFmtId="0" fontId="57" fillId="31" borderId="8" xfId="2" applyBorder="1" applyAlignment="1">
      <alignment vertical="center" wrapText="1"/>
    </xf>
    <xf numFmtId="3" fontId="57" fillId="31" borderId="8" xfId="2" applyNumberFormat="1" applyBorder="1" applyAlignment="1">
      <alignment vertical="center" wrapText="1"/>
    </xf>
    <xf numFmtId="9" fontId="57" fillId="31" borderId="8" xfId="2" applyNumberFormat="1" applyBorder="1" applyAlignment="1">
      <alignment vertical="center" wrapText="1"/>
    </xf>
    <xf numFmtId="0" fontId="60" fillId="31" borderId="0" xfId="2" applyFont="1" applyBorder="1"/>
    <xf numFmtId="3" fontId="60" fillId="30" borderId="8" xfId="2" applyNumberFormat="1" applyFont="1" applyFill="1" applyBorder="1" applyAlignment="1">
      <alignment vertical="center" wrapText="1"/>
    </xf>
    <xf numFmtId="0" fontId="61" fillId="32" borderId="0" xfId="3" applyFont="1" applyAlignment="1">
      <alignment vertical="center"/>
    </xf>
    <xf numFmtId="0" fontId="61" fillId="32" borderId="0" xfId="3" applyFont="1" applyBorder="1"/>
    <xf numFmtId="0" fontId="58" fillId="31" borderId="0" xfId="2" applyFont="1" applyBorder="1"/>
    <xf numFmtId="0" fontId="62" fillId="30" borderId="8" xfId="0" applyFont="1" applyFill="1" applyBorder="1" applyAlignment="1">
      <alignment horizontal="center" vertical="center" wrapText="1"/>
    </xf>
    <xf numFmtId="0" fontId="0" fillId="0" borderId="0" xfId="0"/>
    <xf numFmtId="0" fontId="0" fillId="0" borderId="22" xfId="0" applyBorder="1"/>
    <xf numFmtId="0" fontId="0" fillId="0" borderId="23" xfId="0" applyBorder="1"/>
    <xf numFmtId="0" fontId="35" fillId="14" borderId="0" xfId="0" applyFont="1" applyFill="1" applyAlignment="1">
      <alignment horizontal="right" vertical="center"/>
    </xf>
    <xf numFmtId="0" fontId="0" fillId="0" borderId="0" xfId="0" applyAlignment="1"/>
    <xf numFmtId="0" fontId="36" fillId="17" borderId="0" xfId="0" applyFont="1" applyFill="1" applyAlignment="1">
      <alignment horizontal="left" vertical="center"/>
    </xf>
    <xf numFmtId="0" fontId="31" fillId="16" borderId="19" xfId="0" applyFont="1" applyFill="1" applyBorder="1" applyAlignment="1">
      <alignment horizontal="center" vertical="center"/>
    </xf>
    <xf numFmtId="0" fontId="0" fillId="0" borderId="20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32" fillId="19" borderId="22" xfId="0" applyFont="1" applyFill="1" applyBorder="1" applyAlignment="1">
      <alignment horizontal="center" vertical="center"/>
    </xf>
    <xf numFmtId="0" fontId="0" fillId="20" borderId="22" xfId="0" applyFill="1" applyBorder="1" applyAlignment="1"/>
    <xf numFmtId="0" fontId="33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7" fillId="19" borderId="0" xfId="0" applyFont="1" applyFill="1" applyAlignment="1">
      <alignment horizontal="center" vertical="center"/>
    </xf>
    <xf numFmtId="0" fontId="43" fillId="21" borderId="0" xfId="0" applyFont="1" applyFill="1" applyAlignment="1">
      <alignment horizontal="center" vertical="center"/>
    </xf>
    <xf numFmtId="0" fontId="39" fillId="21" borderId="0" xfId="0" applyFont="1" applyFill="1" applyAlignment="1"/>
    <xf numFmtId="0" fontId="38" fillId="0" borderId="24" xfId="0" applyFont="1" applyBorder="1" applyAlignment="1">
      <alignment horizontal="center" vertical="center"/>
    </xf>
    <xf numFmtId="0" fontId="0" fillId="0" borderId="25" xfId="0" applyBorder="1" applyAlignment="1"/>
    <xf numFmtId="0" fontId="0" fillId="0" borderId="26" xfId="0" applyBorder="1" applyAlignment="1"/>
    <xf numFmtId="0" fontId="10" fillId="4" borderId="10" xfId="0" applyFont="1" applyFill="1" applyBorder="1" applyAlignment="1">
      <alignment horizontal="center"/>
    </xf>
    <xf numFmtId="0" fontId="13" fillId="6" borderId="0" xfId="0" applyFont="1" applyFill="1" applyAlignment="1">
      <alignment horizontal="center"/>
    </xf>
    <xf numFmtId="0" fontId="10" fillId="23" borderId="0" xfId="0" applyFont="1" applyFill="1" applyAlignment="1">
      <alignment horizontal="center"/>
    </xf>
    <xf numFmtId="0" fontId="10" fillId="26" borderId="0" xfId="0" applyFont="1" applyFill="1" applyAlignment="1">
      <alignment horizontal="center"/>
    </xf>
    <xf numFmtId="0" fontId="47" fillId="0" borderId="0" xfId="0" applyFont="1" applyAlignment="1">
      <alignment horizontal="center"/>
    </xf>
    <xf numFmtId="0" fontId="23" fillId="15" borderId="0" xfId="0" applyFont="1" applyFill="1" applyAlignment="1">
      <alignment horizontal="center" vertical="center"/>
    </xf>
    <xf numFmtId="0" fontId="51" fillId="0" borderId="12" xfId="0" applyFont="1" applyBorder="1" applyAlignment="1">
      <alignment horizontal="center" vertical="top" wrapText="1"/>
    </xf>
    <xf numFmtId="0" fontId="51" fillId="0" borderId="13" xfId="0" applyFont="1" applyBorder="1" applyAlignment="1">
      <alignment horizontal="center" vertical="top" wrapText="1"/>
    </xf>
    <xf numFmtId="0" fontId="51" fillId="0" borderId="14" xfId="0" applyFont="1" applyBorder="1" applyAlignment="1">
      <alignment horizontal="center" vertical="top" wrapText="1"/>
    </xf>
    <xf numFmtId="0" fontId="51" fillId="0" borderId="15" xfId="0" applyFont="1" applyBorder="1" applyAlignment="1">
      <alignment horizontal="center" vertical="top" wrapText="1"/>
    </xf>
    <xf numFmtId="0" fontId="51" fillId="0" borderId="0" xfId="0" applyFont="1" applyAlignment="1">
      <alignment horizontal="center" vertical="top" wrapText="1"/>
    </xf>
    <xf numFmtId="0" fontId="51" fillId="0" borderId="16" xfId="0" applyFont="1" applyBorder="1" applyAlignment="1">
      <alignment horizontal="center" vertical="top" wrapText="1"/>
    </xf>
    <xf numFmtId="0" fontId="51" fillId="0" borderId="17" xfId="0" applyFont="1" applyBorder="1" applyAlignment="1">
      <alignment horizontal="center" vertical="top" wrapText="1"/>
    </xf>
    <xf numFmtId="0" fontId="51" fillId="0" borderId="11" xfId="0" applyFont="1" applyBorder="1" applyAlignment="1">
      <alignment horizontal="center" vertical="top" wrapText="1"/>
    </xf>
    <xf numFmtId="0" fontId="51" fillId="0" borderId="18" xfId="0" applyFont="1" applyBorder="1" applyAlignment="1">
      <alignment horizontal="center" vertical="top" wrapText="1"/>
    </xf>
    <xf numFmtId="0" fontId="54" fillId="18" borderId="0" xfId="0" applyFont="1" applyFill="1" applyAlignment="1">
      <alignment horizontal="center" vertical="center"/>
    </xf>
    <xf numFmtId="0" fontId="28" fillId="6" borderId="11" xfId="0" applyFont="1" applyFill="1" applyBorder="1" applyAlignment="1">
      <alignment horizontal="center"/>
    </xf>
    <xf numFmtId="0" fontId="48" fillId="28" borderId="0" xfId="0" applyFont="1" applyFill="1" applyAlignment="1">
      <alignment horizontal="center"/>
    </xf>
    <xf numFmtId="0" fontId="52" fillId="0" borderId="27" xfId="0" applyFont="1" applyBorder="1" applyAlignment="1">
      <alignment horizontal="center"/>
    </xf>
    <xf numFmtId="0" fontId="52" fillId="0" borderId="28" xfId="0" applyFont="1" applyBorder="1" applyAlignment="1">
      <alignment horizontal="center"/>
    </xf>
  </cellXfs>
  <cellStyles count="4">
    <cellStyle name="40% - Accent3" xfId="3" builtinId="39"/>
    <cellStyle name="Good" xfId="2" builtinId="26"/>
    <cellStyle name="Hyperlink" xfId="1" builtinId="8"/>
    <cellStyle name="Normal" xfId="0" builtinId="0"/>
  </cellStyles>
  <dxfs count="26">
    <dxf>
      <fill>
        <patternFill>
          <bgColor rgb="FFEF213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CC66"/>
        </patternFill>
      </fill>
    </dxf>
    <dxf>
      <fill>
        <patternFill>
          <bgColor rgb="FFFFFFCC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rgb="FFFFFFCC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ont>
        <b/>
        <i val="0"/>
        <color theme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EF2135"/>
        </patternFill>
      </fill>
    </dxf>
  </dxfs>
  <tableStyles count="0" defaultTableStyle="TableStyleMedium2" defaultPivotStyle="PivotStyleLight16"/>
  <colors>
    <mruColors>
      <color rgb="FFFFFFB3"/>
      <color rgb="FFFFCC66"/>
      <color rgb="FFFF5D5D"/>
      <color rgb="FFFFFFCC"/>
      <color rgb="FFFF5050"/>
      <color rgb="FFFF3300"/>
      <color rgb="FFFFFF99"/>
      <color rgb="FFEF21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2">
                    <a:lumMod val="75000"/>
                    <a:lumOff val="2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400" b="0" i="0" u="none" strike="noStrike" cap="none" baseline="0"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Ratio Breakdown</a:t>
            </a:r>
            <a:r>
              <a:rPr lang="en-I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2">
                  <a:lumMod val="75000"/>
                  <a:lumOff val="2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RATIOS!$A$5:$B$13</c:f>
              <c:multiLvlStrCache>
                <c:ptCount val="9"/>
                <c:lvl>
                  <c:pt idx="0">
                    <c:v>Working Capital / Total Assets</c:v>
                  </c:pt>
                  <c:pt idx="2">
                    <c:v>Retained Earnings / Total Assets</c:v>
                  </c:pt>
                  <c:pt idx="4">
                    <c:v>EBIT / Total Assets</c:v>
                  </c:pt>
                  <c:pt idx="6">
                    <c:v>Market Cap / Book Value of Total Liabilities</c:v>
                  </c:pt>
                  <c:pt idx="8">
                    <c:v>Revenue / Total Assets (Asset Turnover)</c:v>
                  </c:pt>
                </c:lvl>
                <c:lvl>
                  <c:pt idx="0">
                    <c:v>Ratio 1 — X1</c:v>
                  </c:pt>
                  <c:pt idx="2">
                    <c:v>Ratio 2 — X2</c:v>
                  </c:pt>
                  <c:pt idx="4">
                    <c:v>Ratio 3 — X3</c:v>
                  </c:pt>
                  <c:pt idx="6">
                    <c:v>Ratio 4 — X4</c:v>
                  </c:pt>
                  <c:pt idx="8">
                    <c:v>Ratio 5 — X5</c:v>
                  </c:pt>
                </c:lvl>
              </c:multiLvlStrCache>
            </c:multiLvlStrRef>
          </c:cat>
          <c:val>
            <c:numRef>
              <c:f>RATIOS!$C$5:$C$13</c:f>
              <c:numCache>
                <c:formatCode>General</c:formatCode>
                <c:ptCount val="9"/>
                <c:pt idx="0">
                  <c:v>-7.0633863379592932E-2</c:v>
                </c:pt>
                <c:pt idx="2">
                  <c:v>0.34035377636881775</c:v>
                </c:pt>
                <c:pt idx="4">
                  <c:v>0.11585248638348819</c:v>
                </c:pt>
                <c:pt idx="6">
                  <c:v>0.87060013827293725</c:v>
                </c:pt>
                <c:pt idx="8">
                  <c:v>0.7828946259042544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0-4C31-96CA-EC96798E9858}"/>
            </c:ext>
          </c:extLst>
        </c:ser>
        <c:ser>
          <c:idx val="1"/>
          <c:order val="1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RATIOS!$A$5:$B$13</c:f>
              <c:multiLvlStrCache>
                <c:ptCount val="9"/>
                <c:lvl>
                  <c:pt idx="0">
                    <c:v>Working Capital / Total Assets</c:v>
                  </c:pt>
                  <c:pt idx="2">
                    <c:v>Retained Earnings / Total Assets</c:v>
                  </c:pt>
                  <c:pt idx="4">
                    <c:v>EBIT / Total Assets</c:v>
                  </c:pt>
                  <c:pt idx="6">
                    <c:v>Market Cap / Book Value of Total Liabilities</c:v>
                  </c:pt>
                  <c:pt idx="8">
                    <c:v>Revenue / Total Assets (Asset Turnover)</c:v>
                  </c:pt>
                </c:lvl>
                <c:lvl>
                  <c:pt idx="0">
                    <c:v>Ratio 1 — X1</c:v>
                  </c:pt>
                  <c:pt idx="2">
                    <c:v>Ratio 2 — X2</c:v>
                  </c:pt>
                  <c:pt idx="4">
                    <c:v>Ratio 3 — X3</c:v>
                  </c:pt>
                  <c:pt idx="6">
                    <c:v>Ratio 4 — X4</c:v>
                  </c:pt>
                  <c:pt idx="8">
                    <c:v>Ratio 5 — X5</c:v>
                  </c:pt>
                </c:lvl>
              </c:multiLvlStrCache>
            </c:multiLvlStrRef>
          </c:cat>
          <c:val>
            <c:numRef>
              <c:f>RATIOS!$D$5:$D$13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F970-4C31-96CA-EC96798E9858}"/>
            </c:ext>
          </c:extLst>
        </c:ser>
        <c:ser>
          <c:idx val="2"/>
          <c:order val="2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RATIOS!$A$5:$B$13</c:f>
              <c:multiLvlStrCache>
                <c:ptCount val="9"/>
                <c:lvl>
                  <c:pt idx="0">
                    <c:v>Working Capital / Total Assets</c:v>
                  </c:pt>
                  <c:pt idx="2">
                    <c:v>Retained Earnings / Total Assets</c:v>
                  </c:pt>
                  <c:pt idx="4">
                    <c:v>EBIT / Total Assets</c:v>
                  </c:pt>
                  <c:pt idx="6">
                    <c:v>Market Cap / Book Value of Total Liabilities</c:v>
                  </c:pt>
                  <c:pt idx="8">
                    <c:v>Revenue / Total Assets (Asset Turnover)</c:v>
                  </c:pt>
                </c:lvl>
                <c:lvl>
                  <c:pt idx="0">
                    <c:v>Ratio 1 — X1</c:v>
                  </c:pt>
                  <c:pt idx="2">
                    <c:v>Ratio 2 — X2</c:v>
                  </c:pt>
                  <c:pt idx="4">
                    <c:v>Ratio 3 — X3</c:v>
                  </c:pt>
                  <c:pt idx="6">
                    <c:v>Ratio 4 — X4</c:v>
                  </c:pt>
                  <c:pt idx="8">
                    <c:v>Ratio 5 — X5</c:v>
                  </c:pt>
                </c:lvl>
              </c:multiLvlStrCache>
            </c:multiLvlStrRef>
          </c:cat>
          <c:val>
            <c:numRef>
              <c:f>RATIOS!$E$5:$E$13</c:f>
              <c:numCache>
                <c:formatCode>General</c:formatCode>
                <c:ptCount val="9"/>
                <c:pt idx="0">
                  <c:v>1.2</c:v>
                </c:pt>
                <c:pt idx="2">
                  <c:v>1.4</c:v>
                </c:pt>
                <c:pt idx="4">
                  <c:v>3.3</c:v>
                </c:pt>
                <c:pt idx="6">
                  <c:v>0.6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70-4C31-96CA-EC96798E9858}"/>
            </c:ext>
          </c:extLst>
        </c:ser>
        <c:ser>
          <c:idx val="3"/>
          <c:order val="3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RATIOS!$A$5:$B$13</c:f>
              <c:multiLvlStrCache>
                <c:ptCount val="9"/>
                <c:lvl>
                  <c:pt idx="0">
                    <c:v>Working Capital / Total Assets</c:v>
                  </c:pt>
                  <c:pt idx="2">
                    <c:v>Retained Earnings / Total Assets</c:v>
                  </c:pt>
                  <c:pt idx="4">
                    <c:v>EBIT / Total Assets</c:v>
                  </c:pt>
                  <c:pt idx="6">
                    <c:v>Market Cap / Book Value of Total Liabilities</c:v>
                  </c:pt>
                  <c:pt idx="8">
                    <c:v>Revenue / Total Assets (Asset Turnover)</c:v>
                  </c:pt>
                </c:lvl>
                <c:lvl>
                  <c:pt idx="0">
                    <c:v>Ratio 1 — X1</c:v>
                  </c:pt>
                  <c:pt idx="2">
                    <c:v>Ratio 2 — X2</c:v>
                  </c:pt>
                  <c:pt idx="4">
                    <c:v>Ratio 3 — X3</c:v>
                  </c:pt>
                  <c:pt idx="6">
                    <c:v>Ratio 4 — X4</c:v>
                  </c:pt>
                  <c:pt idx="8">
                    <c:v>Ratio 5 — X5</c:v>
                  </c:pt>
                </c:lvl>
              </c:multiLvlStrCache>
            </c:multiLvlStrRef>
          </c:cat>
          <c:val>
            <c:numRef>
              <c:f>RATIOS!$F$5:$F$13</c:f>
              <c:numCache>
                <c:formatCode>General</c:formatCode>
                <c:ptCount val="9"/>
                <c:pt idx="0">
                  <c:v>-8.4760636055511512E-2</c:v>
                </c:pt>
                <c:pt idx="2">
                  <c:v>0.4764952869163448</c:v>
                </c:pt>
                <c:pt idx="4">
                  <c:v>0.38231320506551103</c:v>
                </c:pt>
                <c:pt idx="6">
                  <c:v>0.52236008296376235</c:v>
                </c:pt>
                <c:pt idx="8">
                  <c:v>0.7828946259042544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70-4C31-96CA-EC96798E9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1665328"/>
        <c:axId val="82290832"/>
      </c:barChart>
      <c:catAx>
        <c:axId val="8166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2">
                    <a:lumMod val="75000"/>
                    <a:lumOff val="2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90832"/>
        <c:crosses val="autoZero"/>
        <c:auto val="1"/>
        <c:lblAlgn val="ctr"/>
        <c:lblOffset val="100"/>
        <c:noMultiLvlLbl val="0"/>
      </c:catAx>
      <c:valAx>
        <c:axId val="8229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2">
                    <a:lumMod val="75000"/>
                    <a:lumOff val="2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6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2">
              <a:lumMod val="75000"/>
              <a:lumOff val="25000"/>
            </a:schemeClr>
          </a:solidFill>
          <a:effectLst>
            <a:outerShdw blurRad="38100" dist="25400" dir="5400000" algn="ctr" rotWithShape="0">
              <a:srgbClr val="6E747A">
                <a:alpha val="43000"/>
              </a:srgb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Stress Test: Z-Score Across Scenarios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22495854802852194"/>
          <c:y val="3.19753117502976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STRESS_TEST!$F$8</c:f>
              <c:strCache>
                <c:ptCount val="1"/>
                <c:pt idx="0">
                  <c:v>Z 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40-48B4-B880-E5354A14685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F40-48B4-B880-E5354A146850}"/>
              </c:ext>
            </c:extLst>
          </c:dPt>
          <c:dPt>
            <c:idx val="2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F40-48B4-B880-E5354A146850}"/>
              </c:ext>
            </c:extLst>
          </c:dPt>
          <c:cat>
            <c:strRef>
              <c:f>STRESS_TEST!$G$5:$I$5</c:f>
              <c:strCache>
                <c:ptCount val="3"/>
                <c:pt idx="0">
                  <c:v>Base</c:v>
                </c:pt>
                <c:pt idx="1">
                  <c:v>Mild</c:v>
                </c:pt>
                <c:pt idx="2">
                  <c:v>Severe</c:v>
                </c:pt>
              </c:strCache>
            </c:strRef>
          </c:cat>
          <c:val>
            <c:numRef>
              <c:f>STRESS_TEST!$G$8:$I$8</c:f>
              <c:numCache>
                <c:formatCode>0.00</c:formatCode>
                <c:ptCount val="3"/>
                <c:pt idx="0">
                  <c:v>2.0793025647943608</c:v>
                </c:pt>
                <c:pt idx="1">
                  <c:v>1.9597048378665498</c:v>
                </c:pt>
                <c:pt idx="2">
                  <c:v>1.8324608468374282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40-48B4-B880-E5354A146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33081583"/>
        <c:axId val="333082543"/>
      </c:barChart>
      <c:lineChart>
        <c:grouping val="standard"/>
        <c:varyColors val="0"/>
        <c:ser>
          <c:idx val="0"/>
          <c:order val="0"/>
          <c:tx>
            <c:strRef>
              <c:f>STRESS_TEST!$F$6</c:f>
              <c:strCache>
                <c:ptCount val="1"/>
                <c:pt idx="0">
                  <c:v>Distress Line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STRESS_TEST!$G$5:$I$5</c:f>
              <c:strCache>
                <c:ptCount val="3"/>
                <c:pt idx="0">
                  <c:v>Base</c:v>
                </c:pt>
                <c:pt idx="1">
                  <c:v>Mild</c:v>
                </c:pt>
                <c:pt idx="2">
                  <c:v>Severe</c:v>
                </c:pt>
              </c:strCache>
            </c:strRef>
          </c:cat>
          <c:val>
            <c:numRef>
              <c:f>STRESS_TEST!$G$6:$I$6</c:f>
              <c:numCache>
                <c:formatCode>General</c:formatCode>
                <c:ptCount val="3"/>
                <c:pt idx="0">
                  <c:v>1.81</c:v>
                </c:pt>
                <c:pt idx="1">
                  <c:v>1.81</c:v>
                </c:pt>
                <c:pt idx="2">
                  <c:v>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40-48B4-B880-E5354A146850}"/>
            </c:ext>
          </c:extLst>
        </c:ser>
        <c:ser>
          <c:idx val="1"/>
          <c:order val="1"/>
          <c:tx>
            <c:strRef>
              <c:f>STRESS_TEST!$F$7</c:f>
              <c:strCache>
                <c:ptCount val="1"/>
                <c:pt idx="0">
                  <c:v>Safe Line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STRESS_TEST!$G$5:$I$5</c:f>
              <c:strCache>
                <c:ptCount val="3"/>
                <c:pt idx="0">
                  <c:v>Base</c:v>
                </c:pt>
                <c:pt idx="1">
                  <c:v>Mild</c:v>
                </c:pt>
                <c:pt idx="2">
                  <c:v>Severe</c:v>
                </c:pt>
              </c:strCache>
            </c:strRef>
          </c:cat>
          <c:val>
            <c:numRef>
              <c:f>STRESS_TEST!$G$7:$I$7</c:f>
              <c:numCache>
                <c:formatCode>General</c:formatCode>
                <c:ptCount val="3"/>
                <c:pt idx="0">
                  <c:v>2.99</c:v>
                </c:pt>
                <c:pt idx="1">
                  <c:v>2.99</c:v>
                </c:pt>
                <c:pt idx="2">
                  <c:v>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40-48B4-B880-E5354A146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081583"/>
        <c:axId val="333082543"/>
      </c:lineChart>
      <c:catAx>
        <c:axId val="33308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082543"/>
        <c:crosses val="autoZero"/>
        <c:auto val="1"/>
        <c:lblAlgn val="ctr"/>
        <c:lblOffset val="100"/>
        <c:noMultiLvlLbl val="0"/>
      </c:catAx>
      <c:valAx>
        <c:axId val="33308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08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PEER_COMP!$A$3</c:f>
              <c:strCache>
                <c:ptCount val="1"/>
                <c:pt idx="0">
                  <c:v>Tata Steel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PEER_COMP!$B$3:$G$3</c:f>
              <c:numCache>
                <c:formatCode>0.0000</c:formatCode>
                <c:ptCount val="6"/>
                <c:pt idx="0">
                  <c:v>-7.0699999999999999E-2</c:v>
                </c:pt>
                <c:pt idx="1">
                  <c:v>0.34039999999999998</c:v>
                </c:pt>
                <c:pt idx="2">
                  <c:v>0.1159</c:v>
                </c:pt>
                <c:pt idx="3">
                  <c:v>0.87060000000000004</c:v>
                </c:pt>
                <c:pt idx="4">
                  <c:v>0.78290000000000004</c:v>
                </c:pt>
                <c:pt idx="5" formatCode="0.000">
                  <c:v>2.07945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A-42A0-8351-D832E316BB2C}"/>
            </c:ext>
          </c:extLst>
        </c:ser>
        <c:ser>
          <c:idx val="1"/>
          <c:order val="1"/>
          <c:tx>
            <c:strRef>
              <c:f>PEER_COMP!$A$4</c:f>
              <c:strCache>
                <c:ptCount val="1"/>
                <c:pt idx="0">
                  <c:v>JSW Steel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PEER_COMP!$B$4:$G$4</c:f>
              <c:numCache>
                <c:formatCode>0.0000</c:formatCode>
                <c:ptCount val="6"/>
                <c:pt idx="0">
                  <c:v>0.18429999999999999</c:v>
                </c:pt>
                <c:pt idx="1">
                  <c:v>0.36990000000000001</c:v>
                </c:pt>
                <c:pt idx="2">
                  <c:v>0.10879999999999999</c:v>
                </c:pt>
                <c:pt idx="3">
                  <c:v>1.1644000000000001</c:v>
                </c:pt>
                <c:pt idx="4">
                  <c:v>0.68779999999999997</c:v>
                </c:pt>
                <c:pt idx="5" formatCode="0.000">
                  <c:v>2.4844999999999997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7A-42A0-8351-D832E316BB2C}"/>
            </c:ext>
          </c:extLst>
        </c:ser>
        <c:ser>
          <c:idx val="2"/>
          <c:order val="2"/>
          <c:tx>
            <c:strRef>
              <c:f>PEER_COMP!$A$5</c:f>
              <c:strCache>
                <c:ptCount val="1"/>
                <c:pt idx="0">
                  <c:v>SAIL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PEER_COMP!$B$5:$G$5</c:f>
              <c:numCache>
                <c:formatCode>0.0000</c:formatCode>
                <c:ptCount val="6"/>
                <c:pt idx="0">
                  <c:v>1.03E-2</c:v>
                </c:pt>
                <c:pt idx="1">
                  <c:v>0.4138</c:v>
                </c:pt>
                <c:pt idx="2">
                  <c:v>8.8300000000000003E-2</c:v>
                </c:pt>
                <c:pt idx="3">
                  <c:v>0.57920000000000005</c:v>
                </c:pt>
                <c:pt idx="4">
                  <c:v>0.81540000000000001</c:v>
                </c:pt>
                <c:pt idx="5" formatCode="0.000">
                  <c:v>2.0459900000000002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7A-42A0-8351-D832E316BB2C}"/>
            </c:ext>
          </c:extLst>
        </c:ser>
        <c:ser>
          <c:idx val="3"/>
          <c:order val="3"/>
          <c:tx>
            <c:strRef>
              <c:f>PEER_COMP!$A$6</c:f>
              <c:strCache>
                <c:ptCount val="1"/>
                <c:pt idx="0">
                  <c:v>Jindal Steel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PEER_COMP!$B$6:$G$6</c:f>
              <c:numCache>
                <c:formatCode>0.0000</c:formatCode>
                <c:ptCount val="6"/>
                <c:pt idx="0">
                  <c:v>-2.18E-2</c:v>
                </c:pt>
                <c:pt idx="1">
                  <c:v>0.51959999999999995</c:v>
                </c:pt>
                <c:pt idx="2">
                  <c:v>9.8699999999999996E-2</c:v>
                </c:pt>
                <c:pt idx="3">
                  <c:v>1.2326999999999999</c:v>
                </c:pt>
                <c:pt idx="4">
                  <c:v>0.54449999999999998</c:v>
                </c:pt>
                <c:pt idx="5" formatCode="0.000">
                  <c:v>2.3111099999999998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7A-42A0-8351-D832E316BB2C}"/>
            </c:ext>
          </c:extLst>
        </c:ser>
        <c:ser>
          <c:idx val="4"/>
          <c:order val="4"/>
          <c:tx>
            <c:strRef>
              <c:f>PEER_COMP!$A$7</c:f>
              <c:strCache>
                <c:ptCount val="1"/>
                <c:pt idx="0">
                  <c:v>NMDC Steel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PEER_COMP!$B$7:$G$7</c:f>
              <c:numCache>
                <c:formatCode>0.0000</c:formatCode>
                <c:ptCount val="6"/>
                <c:pt idx="0">
                  <c:v>-7.9200000000000007E-2</c:v>
                </c:pt>
                <c:pt idx="1">
                  <c:v>0.36270000000000002</c:v>
                </c:pt>
                <c:pt idx="2">
                  <c:v>5.3800000000000001E-2</c:v>
                </c:pt>
                <c:pt idx="3">
                  <c:v>0.51849999999999996</c:v>
                </c:pt>
                <c:pt idx="4">
                  <c:v>0.48309999999999997</c:v>
                </c:pt>
                <c:pt idx="5" formatCode="0.000">
                  <c:v>1.3844799999999999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7A-42A0-8351-D832E316B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11351648"/>
        <c:axId val="502407856"/>
      </c:barChart>
      <c:catAx>
        <c:axId val="511351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407856"/>
        <c:crosses val="autoZero"/>
        <c:auto val="1"/>
        <c:lblAlgn val="ctr"/>
        <c:lblOffset val="100"/>
        <c:noMultiLvlLbl val="0"/>
      </c:catAx>
      <c:valAx>
        <c:axId val="50240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5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7229374460274479E-2"/>
          <c:y val="0.91514769799194395"/>
          <c:w val="0.71458598090778125"/>
          <c:h val="6.72207269577064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795131</xdr:colOff>
      <xdr:row>2</xdr:row>
      <xdr:rowOff>198782</xdr:rowOff>
    </xdr:from>
    <xdr:to>
      <xdr:col>7</xdr:col>
      <xdr:colOff>66262</xdr:colOff>
      <xdr:row>5</xdr:row>
      <xdr:rowOff>253515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0C6B34-ADBB-4837-81FE-1AC494ADD2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51" t="21587" r="19743" b="21578"/>
        <a:stretch>
          <a:fillRect/>
        </a:stretch>
      </xdr:blipFill>
      <xdr:spPr>
        <a:xfrm>
          <a:off x="5875131" y="574260"/>
          <a:ext cx="1325218" cy="12142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1615807</xdr:colOff>
      <xdr:row>13</xdr:row>
      <xdr:rowOff>100988</xdr:rowOff>
    </xdr:from>
    <xdr:to>
      <xdr:col>6</xdr:col>
      <xdr:colOff>220337</xdr:colOff>
      <xdr:row>27</xdr:row>
      <xdr:rowOff>64265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1D229C-1F55-9783-7911-746D609709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997602</xdr:colOff>
      <xdr:row>14</xdr:row>
      <xdr:rowOff>17402</xdr:rowOff>
    </xdr:from>
    <xdr:to>
      <xdr:col>3</xdr:col>
      <xdr:colOff>188646</xdr:colOff>
      <xdr:row>29</xdr:row>
      <xdr:rowOff>17402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5CE5FD-C406-4B50-8E8B-632339910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68237</xdr:rowOff>
    </xdr:from>
    <xdr:to>
      <xdr:col>9</xdr:col>
      <xdr:colOff>79611</xdr:colOff>
      <xdr:row>37</xdr:row>
      <xdr:rowOff>68237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3A3CBF-7760-323C-2868-E8A947228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lan\Downloads\Project1_CreditRisk_FIXED.xlsx" TargetMode="External"/><Relationship Id="rId1" Type="http://schemas.openxmlformats.org/officeDocument/2006/relationships/externalLinkPath" Target="file:///C:\Users\helan\Downloads\Project1_CreditRisk_FIX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INPUTS"/>
      <sheetName val="RATIOS"/>
      <sheetName val="ZSCORE"/>
      <sheetName val="STRESS_TEST"/>
      <sheetName val="PEER_COMP"/>
      <sheetName val="DASHBOARD"/>
      <sheetName val="Sheet8"/>
    </sheetNames>
    <sheetDataSet>
      <sheetData sheetId="0" refreshError="1"/>
      <sheetData sheetId="1" refreshError="1">
        <row r="2">
          <cell r="B2" t="str">
            <v>Tata Steel Limited</v>
          </cell>
        </row>
        <row r="3">
          <cell r="B3" t="str">
            <v>TATASTEEL</v>
          </cell>
        </row>
        <row r="4">
          <cell r="B4">
            <v>46180</v>
          </cell>
        </row>
        <row r="5">
          <cell r="B5" t="str">
            <v>Crores INR</v>
          </cell>
        </row>
        <row r="6">
          <cell r="B6">
            <v>46082</v>
          </cell>
        </row>
      </sheetData>
      <sheetData sheetId="2" refreshError="1"/>
      <sheetData sheetId="3" refreshError="1">
        <row r="5">
          <cell r="B5">
            <v>2.0793025647943608</v>
          </cell>
        </row>
        <row r="7">
          <cell r="B7" t="str">
            <v>GREY ZONE — Monitor closely</v>
          </cell>
        </row>
        <row r="11">
          <cell r="B11" t="str">
            <v>BB/B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ED5BCE-A303-41B4-8B6F-47F50208CEE5}" name="Table13" displayName="Table13" ref="B11:E16" totalsRowShown="0" headerRowDxfId="9" dataDxfId="8" headerRowBorderDxfId="6" tableBorderDxfId="7" totalsRowBorderDxfId="5">
  <autoFilter ref="B11:E16" xr:uid="{41673E72-EDF3-4939-A1C5-BFD4D00464FD}"/>
  <tableColumns count="4">
    <tableColumn id="1" xr3:uid="{E11BFD8D-4CF8-49B5-8DB8-CB9BF7D16FF0}" name="Ratio" dataDxfId="4"/>
    <tableColumn id="2" xr3:uid="{ADA68096-E359-4D26-8077-9A5894943539}" name="Value" dataDxfId="3">
      <calculatedColumnFormula>ROUND(RATIOS!C7,2)</calculatedColumnFormula>
    </tableColumn>
    <tableColumn id="3" xr3:uid="{583C9B0C-B6BD-416F-BC37-BB5DC8ABAFC8}" name="Weight" dataDxfId="2"/>
    <tableColumn id="4" xr3:uid="{19A5B357-177B-4C69-B3F8-23BA7E19DD2B}" name="Interpreta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17" row="5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  <wetp:taskpane dockstate="right" visibility="0" width="438" row="8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0EA08B20-FEA7-4CBB-9ABC-5BB1D06FDFCA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A364DECE-9818-4D7A-B3EE-CEC445AAA21F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11F757BF-171C-4695-A8AC-AC8856D71D10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19DE65E3-ADD8-4481-AE3A-10FF1FD8EFA3}">
  <we:reference id="wa200009152" version="1.0.0.4" store="en-US" storeType="OMEX"/>
  <we:alternateReferences>
    <we:reference id="WA200009152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reener.in/company/TATASTEEL/" TargetMode="External"/><Relationship Id="rId1" Type="http://schemas.openxmlformats.org/officeDocument/2006/relationships/hyperlink" Target="https://www.screener.in/company/TATASTE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A1F89-6D20-4C9A-A739-8A86561C7130}">
  <sheetPr>
    <tabColor theme="7" tint="-0.249977111117893"/>
  </sheetPr>
  <dimension ref="A1:H26"/>
  <sheetViews>
    <sheetView showGridLines="0" showRowColHeaders="0" zoomScale="73" zoomScaleNormal="69" workbookViewId="0">
      <selection activeCell="A11" sqref="A11:H11"/>
    </sheetView>
  </sheetViews>
  <sheetFormatPr defaultRowHeight="14.45"/>
  <cols>
    <col min="1" max="1" width="3" customWidth="1"/>
    <col min="2" max="3" width="18" customWidth="1"/>
    <col min="4" max="4" width="20" customWidth="1"/>
    <col min="5" max="7" width="15" customWidth="1"/>
    <col min="8" max="8" width="3" customWidth="1"/>
  </cols>
  <sheetData>
    <row r="1" spans="1:8" ht="15" customHeight="1">
      <c r="A1" s="146"/>
      <c r="B1" s="146"/>
      <c r="C1" s="146"/>
      <c r="D1" s="146"/>
      <c r="E1" s="146"/>
      <c r="F1" s="146"/>
      <c r="G1" s="146"/>
      <c r="H1" s="146"/>
    </row>
    <row r="2" spans="1:8" ht="15" customHeight="1" thickBot="1">
      <c r="A2" s="146"/>
      <c r="B2" s="146"/>
      <c r="C2" s="146"/>
      <c r="D2" s="146"/>
      <c r="E2" s="146"/>
      <c r="F2" s="146"/>
      <c r="G2" s="146"/>
      <c r="H2" s="146"/>
    </row>
    <row r="3" spans="1:8" ht="30" customHeight="1">
      <c r="A3" s="152" t="s">
        <v>0</v>
      </c>
      <c r="B3" s="153"/>
      <c r="C3" s="153"/>
      <c r="D3" s="153"/>
      <c r="E3" s="153"/>
      <c r="F3" s="153"/>
      <c r="G3" s="153"/>
      <c r="H3" s="154"/>
    </row>
    <row r="4" spans="1:8" ht="30" customHeight="1">
      <c r="A4" s="155"/>
      <c r="B4" s="150"/>
      <c r="C4" s="150"/>
      <c r="D4" s="150"/>
      <c r="E4" s="150"/>
      <c r="F4" s="150"/>
      <c r="G4" s="150"/>
      <c r="H4" s="156"/>
    </row>
    <row r="5" spans="1:8" ht="30" customHeight="1">
      <c r="A5" s="155"/>
      <c r="B5" s="150"/>
      <c r="C5" s="150"/>
      <c r="D5" s="150"/>
      <c r="E5" s="150"/>
      <c r="F5" s="150"/>
      <c r="G5" s="150"/>
      <c r="H5" s="156"/>
    </row>
    <row r="6" spans="1:8" ht="30" customHeight="1">
      <c r="A6" s="155"/>
      <c r="B6" s="150"/>
      <c r="C6" s="150"/>
      <c r="D6" s="150"/>
      <c r="E6" s="150"/>
      <c r="F6" s="150"/>
      <c r="G6" s="150"/>
      <c r="H6" s="156"/>
    </row>
    <row r="7" spans="1:8" ht="17.45">
      <c r="A7" s="157" t="s">
        <v>1</v>
      </c>
      <c r="B7" s="150"/>
      <c r="C7" s="150"/>
      <c r="D7" s="150"/>
      <c r="E7" s="150"/>
      <c r="F7" s="150"/>
      <c r="G7" s="150"/>
      <c r="H7" s="156"/>
    </row>
    <row r="8" spans="1:8" ht="6" customHeight="1">
      <c r="A8" s="158"/>
      <c r="B8" s="150"/>
      <c r="C8" s="150"/>
      <c r="D8" s="150"/>
      <c r="E8" s="150"/>
      <c r="F8" s="150"/>
      <c r="G8" s="150"/>
      <c r="H8" s="156"/>
    </row>
    <row r="9" spans="1:8" ht="19.899999999999999" customHeight="1">
      <c r="A9" s="147"/>
      <c r="B9" s="146"/>
      <c r="C9" s="146"/>
      <c r="D9" s="146"/>
      <c r="E9" s="146"/>
      <c r="F9" s="146"/>
      <c r="G9" s="146"/>
      <c r="H9" s="148"/>
    </row>
    <row r="10" spans="1:8" ht="22.15" customHeight="1">
      <c r="A10" s="159" t="s">
        <v>2</v>
      </c>
      <c r="B10" s="150"/>
      <c r="C10" s="150"/>
      <c r="D10" s="150"/>
      <c r="E10" s="150"/>
      <c r="F10" s="150"/>
      <c r="G10" s="150"/>
      <c r="H10" s="156"/>
    </row>
    <row r="11" spans="1:8" ht="28.15">
      <c r="A11" s="160" t="str">
        <f>[1]INPUTS!B2</f>
        <v>Tata Steel Limited</v>
      </c>
      <c r="B11" s="150"/>
      <c r="C11" s="150"/>
      <c r="D11" s="150"/>
      <c r="E11" s="150"/>
      <c r="F11" s="150"/>
      <c r="G11" s="150"/>
      <c r="H11" s="156"/>
    </row>
    <row r="12" spans="1:8" ht="15" customHeight="1">
      <c r="A12" s="147"/>
      <c r="B12" s="146"/>
      <c r="C12" s="146"/>
      <c r="D12" s="146"/>
      <c r="E12" s="146"/>
      <c r="F12" s="146"/>
      <c r="G12" s="146"/>
      <c r="H12" s="148"/>
    </row>
    <row r="13" spans="1:8" ht="24" customHeight="1">
      <c r="A13" s="147"/>
      <c r="B13" s="149" t="s">
        <v>3</v>
      </c>
      <c r="C13" s="150"/>
      <c r="D13" s="151" t="str">
        <f>[1]INPUTS!B3</f>
        <v>TATASTEEL</v>
      </c>
      <c r="E13" s="150"/>
      <c r="F13" s="150"/>
      <c r="G13" s="150"/>
      <c r="H13" s="148"/>
    </row>
    <row r="14" spans="1:8" ht="24" customHeight="1">
      <c r="A14" s="147"/>
      <c r="B14" s="149" t="s">
        <v>4</v>
      </c>
      <c r="C14" s="150"/>
      <c r="D14" s="151" t="str">
        <f>TEXT([1]INPUTS!B4,"DD-MM-YYYY")</f>
        <v>07-06-2026</v>
      </c>
      <c r="E14" s="150"/>
      <c r="F14" s="150"/>
      <c r="G14" s="150"/>
      <c r="H14" s="148"/>
    </row>
    <row r="15" spans="1:8" ht="24" customHeight="1">
      <c r="A15" s="147"/>
      <c r="B15" s="149" t="s">
        <v>5</v>
      </c>
      <c r="C15" s="150"/>
      <c r="D15" s="151" t="str">
        <f>TEXT([1]INPUTS!B6,"MMM-YYYY")</f>
        <v>Mar-2026</v>
      </c>
      <c r="E15" s="150"/>
      <c r="F15" s="150"/>
      <c r="G15" s="150"/>
      <c r="H15" s="148"/>
    </row>
    <row r="16" spans="1:8" ht="24" customHeight="1">
      <c r="A16" s="147"/>
      <c r="B16" s="149" t="s">
        <v>6</v>
      </c>
      <c r="C16" s="150"/>
      <c r="D16" s="151" t="str">
        <f>[1]INPUTS!B5</f>
        <v>Crores INR</v>
      </c>
      <c r="E16" s="150"/>
      <c r="F16" s="150"/>
      <c r="G16" s="150"/>
      <c r="H16" s="148"/>
    </row>
    <row r="17" spans="1:8" ht="24" customHeight="1">
      <c r="A17" s="147"/>
      <c r="B17" s="149" t="s">
        <v>7</v>
      </c>
      <c r="C17" s="150"/>
      <c r="D17" s="151" t="s">
        <v>8</v>
      </c>
      <c r="E17" s="150"/>
      <c r="F17" s="150"/>
      <c r="G17" s="150"/>
      <c r="H17" s="148"/>
    </row>
    <row r="18" spans="1:8" ht="24" customHeight="1">
      <c r="A18" s="147"/>
      <c r="B18" s="149" t="s">
        <v>9</v>
      </c>
      <c r="C18" s="150"/>
      <c r="D18" s="151" t="s">
        <v>10</v>
      </c>
      <c r="E18" s="150"/>
      <c r="F18" s="150"/>
      <c r="G18" s="150"/>
      <c r="H18" s="148"/>
    </row>
    <row r="19" spans="1:8" ht="24" customHeight="1">
      <c r="A19" s="147"/>
      <c r="B19" s="149" t="s">
        <v>11</v>
      </c>
      <c r="C19" s="150"/>
      <c r="D19" s="151" t="s">
        <v>12</v>
      </c>
      <c r="E19" s="150"/>
      <c r="F19" s="150"/>
      <c r="G19" s="150"/>
      <c r="H19" s="148"/>
    </row>
    <row r="20" spans="1:8" ht="24" customHeight="1">
      <c r="A20" s="147"/>
      <c r="B20" s="149" t="s">
        <v>13</v>
      </c>
      <c r="C20" s="150"/>
      <c r="D20" s="151" t="s">
        <v>14</v>
      </c>
      <c r="E20" s="150"/>
      <c r="F20" s="150"/>
      <c r="G20" s="150"/>
      <c r="H20" s="148"/>
    </row>
    <row r="21" spans="1:8">
      <c r="A21" s="147"/>
      <c r="B21" s="146"/>
      <c r="C21" s="146"/>
      <c r="D21" s="146"/>
      <c r="E21" s="146"/>
      <c r="F21" s="146"/>
      <c r="G21" s="146"/>
      <c r="H21" s="148"/>
    </row>
    <row r="22" spans="1:8" ht="19.899999999999999" customHeight="1">
      <c r="A22" s="147"/>
      <c r="B22" s="146"/>
      <c r="C22" s="146"/>
      <c r="D22" s="146"/>
      <c r="E22" s="146"/>
      <c r="F22" s="146"/>
      <c r="G22" s="146"/>
      <c r="H22" s="148"/>
    </row>
    <row r="23" spans="1:8" ht="28.15" customHeight="1">
      <c r="A23" s="147"/>
      <c r="B23" s="161" t="s">
        <v>15</v>
      </c>
      <c r="C23" s="150"/>
      <c r="D23" s="150"/>
      <c r="E23" s="150"/>
      <c r="F23" s="150"/>
      <c r="G23" s="150"/>
      <c r="H23" s="148"/>
    </row>
    <row r="24" spans="1:8" ht="16.899999999999999">
      <c r="A24" s="147"/>
      <c r="B24" s="162" t="str">
        <f>[1]ZSCORE!B5&amp;"  |  "&amp;[1]ZSCORE!B7&amp;"  |  "&amp;[1]ZSCORE!B11</f>
        <v>2.07930256479436  |  GREY ZONE — Monitor closely  |  BB/B</v>
      </c>
      <c r="C24" s="163"/>
      <c r="D24" s="163"/>
      <c r="E24" s="163"/>
      <c r="F24" s="163"/>
      <c r="G24" s="163"/>
      <c r="H24" s="148"/>
    </row>
    <row r="25" spans="1:8">
      <c r="A25" s="147"/>
      <c r="B25" s="146"/>
      <c r="C25" s="146"/>
      <c r="D25" s="146"/>
      <c r="E25" s="146"/>
      <c r="F25" s="146"/>
      <c r="G25" s="146"/>
      <c r="H25" s="148"/>
    </row>
    <row r="26" spans="1:8" ht="18" customHeight="1" thickBot="1">
      <c r="A26" s="164" t="s">
        <v>16</v>
      </c>
      <c r="B26" s="165"/>
      <c r="C26" s="165"/>
      <c r="D26" s="165"/>
      <c r="E26" s="165"/>
      <c r="F26" s="165"/>
      <c r="G26" s="165"/>
      <c r="H26" s="166"/>
    </row>
  </sheetData>
  <mergeCells count="24">
    <mergeCell ref="B20:C20"/>
    <mergeCell ref="D20:G20"/>
    <mergeCell ref="B23:G23"/>
    <mergeCell ref="B24:G24"/>
    <mergeCell ref="A26:H26"/>
    <mergeCell ref="B17:C17"/>
    <mergeCell ref="D17:G17"/>
    <mergeCell ref="B18:C18"/>
    <mergeCell ref="D18:G18"/>
    <mergeCell ref="B19:C19"/>
    <mergeCell ref="D19:G19"/>
    <mergeCell ref="B14:C14"/>
    <mergeCell ref="D14:G14"/>
    <mergeCell ref="B15:C15"/>
    <mergeCell ref="D15:G15"/>
    <mergeCell ref="B16:C16"/>
    <mergeCell ref="D16:G16"/>
    <mergeCell ref="B13:C13"/>
    <mergeCell ref="D13:G13"/>
    <mergeCell ref="A3:H6"/>
    <mergeCell ref="A7:H7"/>
    <mergeCell ref="A8:H8"/>
    <mergeCell ref="A10:H10"/>
    <mergeCell ref="A11:H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DEA43-3053-46A7-A782-816DF712D967}">
  <sheetPr>
    <tabColor theme="5" tint="0.39997558519241921"/>
  </sheetPr>
  <dimension ref="A1:C17"/>
  <sheetViews>
    <sheetView showGridLines="0" showRowColHeaders="0" zoomScale="123" workbookViewId="0">
      <selection activeCell="B17" sqref="B17"/>
    </sheetView>
  </sheetViews>
  <sheetFormatPr defaultRowHeight="14.45"/>
  <cols>
    <col min="1" max="1" width="39.42578125" bestFit="1" customWidth="1"/>
    <col min="2" max="2" width="20.7109375" customWidth="1"/>
    <col min="3" max="3" width="30.7109375" customWidth="1"/>
  </cols>
  <sheetData>
    <row r="1" spans="1:3" ht="18" thickBot="1">
      <c r="A1" s="167" t="s">
        <v>17</v>
      </c>
      <c r="B1" s="167"/>
      <c r="C1" s="56"/>
    </row>
    <row r="2" spans="1:3" ht="15" thickBot="1">
      <c r="A2" s="18" t="s">
        <v>18</v>
      </c>
      <c r="B2" s="19" t="s">
        <v>19</v>
      </c>
      <c r="C2" s="22" t="s">
        <v>20</v>
      </c>
    </row>
    <row r="3" spans="1:3" ht="15" thickBot="1">
      <c r="A3" s="20" t="s">
        <v>3</v>
      </c>
      <c r="B3" s="21" t="s">
        <v>21</v>
      </c>
      <c r="C3" s="20" t="s">
        <v>22</v>
      </c>
    </row>
    <row r="4" spans="1:3" ht="15" thickBot="1">
      <c r="A4" s="22" t="s">
        <v>4</v>
      </c>
      <c r="B4" s="23">
        <f ca="1">TODAY()</f>
        <v>46304</v>
      </c>
      <c r="C4" s="22" t="s">
        <v>23</v>
      </c>
    </row>
    <row r="5" spans="1:3" ht="15" thickBot="1">
      <c r="A5" s="24" t="s">
        <v>24</v>
      </c>
      <c r="B5" s="25" t="s">
        <v>25</v>
      </c>
      <c r="C5" s="20" t="s">
        <v>20</v>
      </c>
    </row>
    <row r="6" spans="1:3" ht="15" thickBot="1">
      <c r="A6" s="22" t="s">
        <v>5</v>
      </c>
      <c r="B6" s="27">
        <v>46082</v>
      </c>
      <c r="C6" s="22" t="s">
        <v>20</v>
      </c>
    </row>
    <row r="7" spans="1:3" ht="15" thickBot="1">
      <c r="A7" s="20" t="s">
        <v>26</v>
      </c>
      <c r="B7" s="21"/>
      <c r="C7" s="20" t="s">
        <v>27</v>
      </c>
    </row>
    <row r="8" spans="1:3" ht="15" thickBot="1">
      <c r="A8" s="22" t="s">
        <v>28</v>
      </c>
      <c r="B8" s="57">
        <v>81021</v>
      </c>
      <c r="C8" s="22" t="s">
        <v>29</v>
      </c>
    </row>
    <row r="9" spans="1:3" ht="27" thickBot="1">
      <c r="A9" s="20" t="s">
        <v>30</v>
      </c>
      <c r="B9" s="58">
        <v>101965</v>
      </c>
      <c r="C9" s="20" t="s">
        <v>31</v>
      </c>
    </row>
    <row r="10" spans="1:3" ht="15" thickBot="1">
      <c r="A10" s="22" t="s">
        <v>32</v>
      </c>
      <c r="B10" s="58">
        <v>296515</v>
      </c>
      <c r="C10" s="22" t="s">
        <v>33</v>
      </c>
    </row>
    <row r="11" spans="1:3" ht="15" thickBot="1">
      <c r="A11" s="20" t="s">
        <v>34</v>
      </c>
      <c r="B11" s="57">
        <v>296515</v>
      </c>
      <c r="C11" s="20" t="s">
        <v>35</v>
      </c>
    </row>
    <row r="12" spans="1:3" ht="27" thickBot="1">
      <c r="A12" s="22" t="s">
        <v>36</v>
      </c>
      <c r="B12" s="13">
        <v>100920</v>
      </c>
      <c r="C12" s="22" t="s">
        <v>37</v>
      </c>
    </row>
    <row r="13" spans="1:3" ht="15" thickBot="1">
      <c r="A13" s="20" t="s">
        <v>38</v>
      </c>
      <c r="B13" s="21"/>
      <c r="C13" s="20" t="s">
        <v>27</v>
      </c>
    </row>
    <row r="14" spans="1:3" ht="15" thickBot="1">
      <c r="A14" s="22" t="s">
        <v>39</v>
      </c>
      <c r="B14" s="17">
        <v>232140</v>
      </c>
      <c r="C14" s="22" t="s">
        <v>40</v>
      </c>
    </row>
    <row r="15" spans="1:3" ht="15" thickBot="1">
      <c r="A15" s="20" t="s">
        <v>41</v>
      </c>
      <c r="B15" s="57">
        <v>34352</v>
      </c>
      <c r="C15" s="20" t="s">
        <v>42</v>
      </c>
    </row>
    <row r="16" spans="1:3" ht="15" thickBot="1">
      <c r="A16" s="22" t="s">
        <v>43</v>
      </c>
      <c r="B16" s="26"/>
      <c r="C16" s="22" t="s">
        <v>27</v>
      </c>
    </row>
    <row r="17" spans="1:3" ht="15" thickBot="1">
      <c r="A17" s="20" t="s">
        <v>44</v>
      </c>
      <c r="B17" s="28">
        <v>258146</v>
      </c>
      <c r="C17" s="20" t="s">
        <v>45</v>
      </c>
    </row>
  </sheetData>
  <mergeCells count="1">
    <mergeCell ref="A1:B1"/>
  </mergeCells>
  <conditionalFormatting sqref="B7:B17">
    <cfRule type="containsBlanks" dxfId="25" priority="1">
      <formula>LEN(TRIM(B7))=0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DD2E-D841-41FF-B61B-EC84D17A2EA6}">
  <sheetPr>
    <tabColor rgb="FFFFFFB3"/>
  </sheetPr>
  <dimension ref="A1:H13"/>
  <sheetViews>
    <sheetView showGridLines="0" showRowColHeaders="0" zoomScale="96" zoomScaleNormal="96" workbookViewId="0">
      <selection activeCell="E5" sqref="E5"/>
    </sheetView>
  </sheetViews>
  <sheetFormatPr defaultRowHeight="14.45"/>
  <cols>
    <col min="1" max="1" width="14" bestFit="1" customWidth="1"/>
    <col min="2" max="2" width="43.28515625" bestFit="1" customWidth="1"/>
    <col min="3" max="3" width="16" bestFit="1" customWidth="1"/>
    <col min="4" max="4" width="6.5703125" bestFit="1" customWidth="1"/>
    <col min="6" max="6" width="15.42578125" bestFit="1" customWidth="1"/>
    <col min="7" max="7" width="35.7109375" customWidth="1"/>
  </cols>
  <sheetData>
    <row r="1" spans="1:8" ht="17.45">
      <c r="A1" s="168" t="s">
        <v>46</v>
      </c>
      <c r="B1" s="168"/>
      <c r="C1" s="168"/>
      <c r="D1" s="168"/>
      <c r="E1" s="168"/>
      <c r="F1" s="168"/>
      <c r="G1" s="168"/>
      <c r="H1" s="168"/>
    </row>
    <row r="3" spans="1:8" s="41" customFormat="1">
      <c r="A3" s="81" t="s">
        <v>47</v>
      </c>
      <c r="B3" s="81" t="s">
        <v>48</v>
      </c>
      <c r="C3" s="81" t="s">
        <v>49</v>
      </c>
      <c r="D3" s="81" t="s">
        <v>50</v>
      </c>
      <c r="E3" s="81" t="s">
        <v>51</v>
      </c>
      <c r="F3" s="81" t="s">
        <v>52</v>
      </c>
      <c r="G3" s="81" t="s">
        <v>53</v>
      </c>
    </row>
    <row r="4" spans="1:8">
      <c r="A4" s="71"/>
      <c r="B4" s="71"/>
      <c r="C4" s="71"/>
      <c r="D4" s="71"/>
      <c r="E4" s="71"/>
      <c r="F4" s="71"/>
      <c r="G4" s="71"/>
      <c r="H4" s="146"/>
    </row>
    <row r="5" spans="1:8" ht="27.6">
      <c r="A5" s="82" t="s">
        <v>54</v>
      </c>
      <c r="B5" s="83" t="s">
        <v>55</v>
      </c>
      <c r="C5" s="84">
        <f>(INPUTS!B8-INPUTS!B9)/INPUTS!B10</f>
        <v>-7.0633863379592932E-2</v>
      </c>
      <c r="D5" s="85"/>
      <c r="E5" s="86">
        <v>1.2</v>
      </c>
      <c r="F5" s="84">
        <f>C5*E5</f>
        <v>-8.4760636055511512E-2</v>
      </c>
      <c r="G5" s="87" t="str">
        <f>IF(C5&gt;0.1,"HEALTHY — positive working capital",IF(C5&gt;0,"CAUTION — thin liquidity buffer","DISTRESS — negative working capital"))</f>
        <v>DISTRESS — negative working capital</v>
      </c>
      <c r="H5" s="146"/>
    </row>
    <row r="6" spans="1:8">
      <c r="A6" s="71"/>
      <c r="B6" s="71"/>
      <c r="C6" s="85"/>
      <c r="D6" s="85"/>
      <c r="E6" s="85"/>
      <c r="F6" s="85"/>
      <c r="G6" s="71"/>
      <c r="H6" s="146"/>
    </row>
    <row r="7" spans="1:8" ht="27.6">
      <c r="A7" s="82" t="s">
        <v>56</v>
      </c>
      <c r="B7" s="86" t="s">
        <v>57</v>
      </c>
      <c r="C7" s="84">
        <f>INPUTS!B12/INPUTS!B10</f>
        <v>0.34035377636881775</v>
      </c>
      <c r="D7" s="85"/>
      <c r="E7" s="86">
        <v>1.4</v>
      </c>
      <c r="F7" s="88">
        <f>C7*E7</f>
        <v>0.4764952869163448</v>
      </c>
      <c r="G7" s="87" t="str">
        <f>IF(C7&gt;0.3,"HEALTHY — strong retained profits",IF(C7&gt;0,"MODERATE — limited earnings history","DISTRESS — accumulated losses"))</f>
        <v>HEALTHY — strong retained profits</v>
      </c>
      <c r="H7" s="146"/>
    </row>
    <row r="8" spans="1:8">
      <c r="A8" s="71"/>
      <c r="B8" s="71"/>
      <c r="C8" s="85"/>
      <c r="D8" s="85"/>
      <c r="E8" s="85"/>
      <c r="F8" s="85"/>
      <c r="G8" s="71"/>
      <c r="H8" s="146"/>
    </row>
    <row r="9" spans="1:8">
      <c r="A9" s="86" t="s">
        <v>58</v>
      </c>
      <c r="B9" s="86" t="s">
        <v>59</v>
      </c>
      <c r="C9" s="89">
        <f>INPUTS!B15/INPUTS!B10</f>
        <v>0.11585248638348819</v>
      </c>
      <c r="D9" s="85"/>
      <c r="E9" s="86">
        <v>3.3</v>
      </c>
      <c r="F9" s="86">
        <f>C9*E9</f>
        <v>0.38231320506551103</v>
      </c>
      <c r="G9" s="90" t="str">
        <f>IF(C9&gt;0.15,"HEALTHY — strong asset profitability",IF(C9&gt;0,"MODERATE — low ROA","DISTRESS — operating at a loss"))</f>
        <v>MODERATE — low ROA</v>
      </c>
      <c r="H9" s="146"/>
    </row>
    <row r="10" spans="1:8">
      <c r="A10" s="71"/>
      <c r="B10" s="71"/>
      <c r="C10" s="85"/>
      <c r="D10" s="85"/>
      <c r="E10" s="85"/>
      <c r="F10" s="85"/>
      <c r="G10" s="71"/>
      <c r="H10" s="146"/>
    </row>
    <row r="11" spans="1:8" ht="27.6">
      <c r="A11" s="86" t="s">
        <v>60</v>
      </c>
      <c r="B11" s="86" t="s">
        <v>61</v>
      </c>
      <c r="C11" s="89">
        <f>INPUTS!B17/INPUTS!B11</f>
        <v>0.87060013827293725</v>
      </c>
      <c r="D11" s="85"/>
      <c r="E11" s="86">
        <v>0.6</v>
      </c>
      <c r="F11" s="86">
        <f>C11*E11</f>
        <v>0.52236008296376235</v>
      </c>
      <c r="G11" s="90" t="str">
        <f>IF(C11&gt;2,"HEALTHY — market confident in solvency",IF(C11&gt;1,"MODERATE — market-to-debt near parity","DISTRESS — market doubts solvency"))</f>
        <v>DISTRESS — market doubts solvency</v>
      </c>
      <c r="H11" s="146"/>
    </row>
    <row r="12" spans="1:8">
      <c r="A12" s="71"/>
      <c r="B12" s="71"/>
      <c r="C12" s="85"/>
      <c r="D12" s="85"/>
      <c r="E12" s="85"/>
      <c r="F12" s="85"/>
      <c r="G12" s="71"/>
      <c r="H12" s="146"/>
    </row>
    <row r="13" spans="1:8" ht="27.6">
      <c r="A13" s="86" t="s">
        <v>62</v>
      </c>
      <c r="B13" s="86" t="s">
        <v>63</v>
      </c>
      <c r="C13" s="84">
        <f>INPUTS!B14/INPUTS!B10</f>
        <v>0.7828946259042544</v>
      </c>
      <c r="D13" s="85"/>
      <c r="E13" s="86">
        <v>1</v>
      </c>
      <c r="F13" s="86">
        <f>C13*E13</f>
        <v>0.7828946259042544</v>
      </c>
      <c r="G13" s="87" t="str">
        <f>IF(C13&gt;0.8,"EFFICIENT — high asset utilisation",IF(C13&gt;0.4,"MODERATE — average efficiency","LOW — poor asset utilisation"))</f>
        <v>MODERATE — average efficiency</v>
      </c>
      <c r="H13" s="146"/>
    </row>
  </sheetData>
  <mergeCells count="1">
    <mergeCell ref="A1:H1"/>
  </mergeCells>
  <conditionalFormatting sqref="G5:G13">
    <cfRule type="containsText" dxfId="24" priority="1" operator="containsText" text="MODERATE">
      <formula>NOT(ISERROR(SEARCH("MODERATE",G5)))</formula>
    </cfRule>
    <cfRule type="containsText" dxfId="23" priority="2" operator="containsText" text="DISTRESS">
      <formula>NOT(ISERROR(SEARCH("DISTRESS",G5)))</formula>
    </cfRule>
    <cfRule type="containsText" dxfId="22" priority="3" operator="containsText" text="HEALTHY">
      <formula>NOT(ISERROR(SEARCH("HEALTHY",G5)))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79ECD-5107-4AA6-AE78-515B4AF92202}">
  <sheetPr>
    <tabColor theme="6" tint="0.59999389629810485"/>
  </sheetPr>
  <dimension ref="A1:B13"/>
  <sheetViews>
    <sheetView showGridLines="0" showRowColHeaders="0" workbookViewId="0">
      <selection activeCell="B13" sqref="B13"/>
    </sheetView>
  </sheetViews>
  <sheetFormatPr defaultRowHeight="14.45"/>
  <cols>
    <col min="1" max="1" width="30.28515625" bestFit="1" customWidth="1"/>
    <col min="2" max="2" width="38.85546875" style="53" bestFit="1" customWidth="1"/>
  </cols>
  <sheetData>
    <row r="1" spans="1:2" ht="17.45">
      <c r="A1" s="169" t="s">
        <v>64</v>
      </c>
      <c r="B1" s="169"/>
    </row>
    <row r="3" spans="1:2" ht="15" thickBot="1">
      <c r="A3" s="146"/>
    </row>
    <row r="4" spans="1:2">
      <c r="A4" s="61"/>
      <c r="B4" s="62"/>
    </row>
    <row r="5" spans="1:2" ht="37.15">
      <c r="A5" s="68" t="s">
        <v>65</v>
      </c>
      <c r="B5" s="64">
        <f>RATIOS!F5+RATIOS!F7+RATIOS!F9+RATIOS!F11+RATIOS!F13</f>
        <v>2.0793025647943608</v>
      </c>
    </row>
    <row r="6" spans="1:2">
      <c r="A6" s="63"/>
      <c r="B6" s="148"/>
    </row>
    <row r="7" spans="1:2">
      <c r="A7" s="68" t="s">
        <v>66</v>
      </c>
      <c r="B7" s="65" t="str">
        <f>IF(B5&gt;2.99,"SAFE ZONE — Low bankruptcy risk",IF(B5&gt;1.81,"GREY ZONE — Monitor closely","DISTRESS ZONE — High bankruptcy risk"))</f>
        <v>GREY ZONE — Monitor closely</v>
      </c>
    </row>
    <row r="8" spans="1:2">
      <c r="A8" s="63"/>
      <c r="B8" s="148"/>
    </row>
    <row r="9" spans="1:2">
      <c r="A9" s="68" t="s">
        <v>67</v>
      </c>
      <c r="B9" s="66">
        <f>IF(B5&gt;=4,10,IF(B5&gt;=3.5,9,IF(B5&gt;=2.99,8,IF(B5&gt;=2.5,7,IF(B5&gt;=2,6,IF(B5&gt;=1.81,5,IF(B5&gt;=1.5,4,IF(B5&gt;=1.2,3,IF(B5&gt;=0.8,2,1)))))))))</f>
        <v>6</v>
      </c>
    </row>
    <row r="10" spans="1:2">
      <c r="A10" s="63"/>
      <c r="B10" s="148"/>
    </row>
    <row r="11" spans="1:2">
      <c r="A11" s="68" t="s">
        <v>68</v>
      </c>
      <c r="B11" s="66" t="str">
        <f>IF(B9&gt;=9,"AAA/AA",IF(B9&gt;=7,"A/BBB",IF(B9&gt;=5,"BB/B",IF(B9&gt;=3,"CCC/CC","D/Default Risk"))))</f>
        <v>BB/B</v>
      </c>
    </row>
    <row r="12" spans="1:2">
      <c r="A12" s="63"/>
      <c r="B12" s="148"/>
    </row>
    <row r="13" spans="1:2" ht="42" thickBot="1">
      <c r="A13" s="69" t="s">
        <v>69</v>
      </c>
      <c r="B13" s="67" t="str">
        <f>IF(B9&gt;=7,"BUY / HOLD — Financially healthy, low credit risk",IF(B9&gt;=4,"NEUTRAL — Monitor for deterioration, limit credit exposure","SELL / AVOID — High distress risk, do not extend credit"))</f>
        <v>NEUTRAL — Monitor for deterioration, limit credit exposure</v>
      </c>
    </row>
  </sheetData>
  <mergeCells count="1">
    <mergeCell ref="A1:B1"/>
  </mergeCells>
  <conditionalFormatting sqref="B7">
    <cfRule type="containsText" dxfId="21" priority="8" operator="containsText" text="DISTRESS ZONE ">
      <formula>NOT(ISERROR(SEARCH("DISTRESS ZONE ",B7)))</formula>
    </cfRule>
    <cfRule type="containsText" dxfId="20" priority="9" operator="containsText" text="GREY ZONE ">
      <formula>NOT(ISERROR(SEARCH("GREY ZONE ",B7)))</formula>
    </cfRule>
    <cfRule type="containsText" dxfId="19" priority="10" operator="containsText" text="SAFE ZONE ">
      <formula>NOT(ISERROR(SEARCH("SAFE ZONE ",B7)))</formula>
    </cfRule>
  </conditionalFormatting>
  <conditionalFormatting sqref="B11">
    <cfRule type="containsText" dxfId="18" priority="3" operator="containsText" text="D">
      <formula>NOT(ISERROR(SEARCH("D",B11)))</formula>
    </cfRule>
    <cfRule type="containsText" dxfId="17" priority="4" operator="containsText" text="CCC/CC ">
      <formula>NOT(ISERROR(SEARCH("CCC/CC ",B11)))</formula>
    </cfRule>
    <cfRule type="containsText" dxfId="16" priority="5" operator="containsText" text="BB/B ">
      <formula>NOT(ISERROR(SEARCH("BB/B ",B11)))</formula>
    </cfRule>
    <cfRule type="containsText" dxfId="15" priority="6" operator="containsText" text="A/BBB ">
      <formula>NOT(ISERROR(SEARCH("A/BBB ",B11)))</formula>
    </cfRule>
    <cfRule type="containsText" dxfId="14" priority="7" operator="containsText" text="AAA/AA ">
      <formula>NOT(ISERROR(SEARCH("AAA/AA ",B11)))</formula>
    </cfRule>
  </conditionalFormatting>
  <conditionalFormatting sqref="B12:D12">
    <cfRule type="containsText" dxfId="13" priority="1" operator="containsText" text="GREY ZONE ">
      <formula>NOT(ISERROR(SEARCH("GREY ZONE ",B12)))</formula>
    </cfRule>
    <cfRule type="containsText" dxfId="12" priority="2" operator="containsText" text="DISTRESS ZONE ">
      <formula>NOT(ISERROR(SEARCH("DISTRESS ZONE ",B12)))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8C29C-41EA-4BF2-8CE9-A8DE3F9A7164}">
  <sheetPr>
    <tabColor rgb="FFFF5D5D"/>
  </sheetPr>
  <dimension ref="A1:I14"/>
  <sheetViews>
    <sheetView showGridLines="0" showRowColHeaders="0" zoomScale="101" zoomScaleNormal="65" workbookViewId="0">
      <selection activeCell="C3" sqref="C3"/>
    </sheetView>
  </sheetViews>
  <sheetFormatPr defaultRowHeight="14.45"/>
  <cols>
    <col min="1" max="1" width="30" bestFit="1" customWidth="1"/>
    <col min="2" max="4" width="33.7109375" bestFit="1" customWidth="1"/>
    <col min="6" max="6" width="12.42578125" customWidth="1"/>
    <col min="8" max="10" width="11.5703125" bestFit="1" customWidth="1"/>
  </cols>
  <sheetData>
    <row r="1" spans="1:9" ht="17.45">
      <c r="A1" s="170" t="s">
        <v>70</v>
      </c>
      <c r="B1" s="170"/>
      <c r="C1" s="170"/>
      <c r="D1" s="170"/>
      <c r="E1" s="170"/>
      <c r="F1" s="170"/>
      <c r="G1" s="170"/>
      <c r="H1" s="170"/>
      <c r="I1" s="170"/>
    </row>
    <row r="3" spans="1:9">
      <c r="A3" s="71"/>
      <c r="B3" s="72" t="s">
        <v>71</v>
      </c>
      <c r="C3" s="73" t="s">
        <v>72</v>
      </c>
      <c r="D3" s="74" t="s">
        <v>73</v>
      </c>
      <c r="E3" s="146"/>
      <c r="F3" s="146"/>
      <c r="G3" s="146"/>
      <c r="H3" s="146"/>
      <c r="I3" s="146"/>
    </row>
    <row r="4" spans="1:9">
      <c r="A4" s="75" t="s">
        <v>74</v>
      </c>
      <c r="B4" s="76">
        <v>0</v>
      </c>
      <c r="C4" s="76">
        <v>-0.15</v>
      </c>
      <c r="D4" s="76">
        <v>-0.3</v>
      </c>
      <c r="E4" s="146"/>
      <c r="F4" s="146"/>
      <c r="G4" s="146"/>
      <c r="H4" s="146"/>
      <c r="I4" s="146"/>
    </row>
    <row r="5" spans="1:9">
      <c r="A5" s="77" t="s">
        <v>75</v>
      </c>
      <c r="B5" s="76">
        <v>0</v>
      </c>
      <c r="C5" s="76">
        <v>-0.05</v>
      </c>
      <c r="D5" s="76">
        <v>-0.12</v>
      </c>
      <c r="E5" s="146"/>
      <c r="F5" s="55" t="s">
        <v>76</v>
      </c>
      <c r="G5" s="55" t="s">
        <v>77</v>
      </c>
      <c r="H5" s="55" t="s">
        <v>78</v>
      </c>
      <c r="I5" s="55" t="s">
        <v>79</v>
      </c>
    </row>
    <row r="6" spans="1:9">
      <c r="A6" s="75" t="s">
        <v>80</v>
      </c>
      <c r="B6" s="76">
        <v>0</v>
      </c>
      <c r="C6" s="76">
        <v>-0.2</v>
      </c>
      <c r="D6" s="76">
        <v>-0.4</v>
      </c>
      <c r="E6" s="146"/>
      <c r="F6" s="55" t="s">
        <v>81</v>
      </c>
      <c r="G6" s="54">
        <v>1.81</v>
      </c>
      <c r="H6" s="54">
        <v>1.81</v>
      </c>
      <c r="I6" s="54">
        <v>1.81</v>
      </c>
    </row>
    <row r="7" spans="1:9">
      <c r="A7" s="77" t="s">
        <v>82</v>
      </c>
      <c r="B7" s="78">
        <f>INPUTS!B14</f>
        <v>232140</v>
      </c>
      <c r="C7" s="71">
        <f>INPUTS!B14*(1+C4)</f>
        <v>197319</v>
      </c>
      <c r="D7" s="71">
        <f>INPUTS!B14*(1+D4)</f>
        <v>162498</v>
      </c>
      <c r="E7" s="146"/>
      <c r="F7" s="55" t="s">
        <v>83</v>
      </c>
      <c r="G7" s="54">
        <v>2.99</v>
      </c>
      <c r="H7" s="54">
        <v>2.99</v>
      </c>
      <c r="I7" s="54">
        <v>2.99</v>
      </c>
    </row>
    <row r="8" spans="1:9">
      <c r="A8" s="75" t="s">
        <v>84</v>
      </c>
      <c r="B8" s="78">
        <f>INPUTS!B15</f>
        <v>34352</v>
      </c>
      <c r="C8" s="79">
        <f>INPUTS!B15*(1+C5)</f>
        <v>32634.399999999998</v>
      </c>
      <c r="D8" s="71">
        <f>INPUTS!B15*(1+D5)</f>
        <v>30229.759999999998</v>
      </c>
      <c r="E8" s="146"/>
      <c r="F8" s="55" t="s">
        <v>85</v>
      </c>
      <c r="G8" s="70">
        <f>B10</f>
        <v>2.0793025647943608</v>
      </c>
      <c r="H8" s="70">
        <f>C10</f>
        <v>1.9597048378665498</v>
      </c>
      <c r="I8" s="70">
        <f>D10</f>
        <v>1.8324608468374282</v>
      </c>
    </row>
    <row r="9" spans="1:9">
      <c r="A9" s="77" t="s">
        <v>86</v>
      </c>
      <c r="B9" s="78">
        <f>INPUTS!B8-INPUTS!B9</f>
        <v>-20944</v>
      </c>
      <c r="C9" s="71">
        <f>(INPUTS!B8-INPUTS!B9)*(1+C6)</f>
        <v>-16755.2</v>
      </c>
      <c r="D9" s="71">
        <f>(INPUTS!B8-INPUTS!B9)*(1+D6)</f>
        <v>-12566.4</v>
      </c>
      <c r="E9" s="146"/>
      <c r="F9" s="146"/>
      <c r="G9" s="146"/>
      <c r="H9" s="146"/>
      <c r="I9" s="146"/>
    </row>
    <row r="10" spans="1:9">
      <c r="A10" s="75" t="s">
        <v>87</v>
      </c>
      <c r="B10" s="80">
        <f>(1.2*(B9/INPUTS!B10))+(1.4*(INPUTS!B12/INPUTS!B10))+(3.3*(B8/INPUTS!B10))+(0.6*(INPUTS!B17/INPUTS!B11))+(1*(B7/INPUTS!B10))</f>
        <v>2.0793025647943608</v>
      </c>
      <c r="C10" s="80">
        <f>(1.2*(C9/INPUTS!B10))+(1.4*(INPUTS!B12/INPUTS!B10))+(3.3*(C8/INPUTS!B10))+(0.6*(INPUTS!B17/INPUTS!B11))+(1*(C7/INPUTS!B10))</f>
        <v>1.9597048378665498</v>
      </c>
      <c r="D10" s="80">
        <f>(1.2*(D9/INPUTS!B10))+(1.4*(INPUTS!B12/INPUTS!B10))+(3.3*(D8/INPUTS!B10))+(0.6*(INPUTS!B17/INPUTS!B11))+(1*(D7/INPUTS!B10))</f>
        <v>1.8324608468374282</v>
      </c>
      <c r="E10" s="146"/>
      <c r="F10" s="146"/>
      <c r="G10" s="146"/>
      <c r="H10" s="146"/>
      <c r="I10" s="146"/>
    </row>
    <row r="11" spans="1:9">
      <c r="A11" s="77" t="s">
        <v>66</v>
      </c>
      <c r="B11" s="72" t="str">
        <f>IF(B10&gt;2.99,"SAFE ZONE — Low bankruptcy risk",IF(B10&gt;1.81,"GREY ZONE — Monitor closely","DISTRESS ZONE — High bankruptcy risk"))</f>
        <v>GREY ZONE — Monitor closely</v>
      </c>
      <c r="C11" s="73" t="str">
        <f>IF(B10&gt;2.99,"SAFE ZONE — Low bankruptcy risk",IF(B10&gt;1.81,"GREY ZONE — Monitor closely","DISTRESS ZONE — High bankruptcy risk"))</f>
        <v>GREY ZONE — Monitor closely</v>
      </c>
      <c r="D11" s="74" t="str">
        <f>IF(B10&gt;2.99,"SAFE ZONE — Low bankruptcy risk",IF(B10&gt;1.81,"GREY ZONE — Monitor closely","DISTRESS ZONE — High bankruptcy risk"))</f>
        <v>GREY ZONE — Monitor closely</v>
      </c>
      <c r="E11" s="146"/>
      <c r="F11" s="146"/>
      <c r="G11" s="146"/>
      <c r="H11" s="146"/>
      <c r="I11" s="146"/>
    </row>
    <row r="14" spans="1:9">
      <c r="A14" s="146"/>
      <c r="B14" s="171" t="s">
        <v>88</v>
      </c>
      <c r="C14" s="171"/>
      <c r="D14" s="146"/>
      <c r="E14" s="146"/>
      <c r="F14" s="146"/>
      <c r="G14" s="146"/>
      <c r="H14" s="146"/>
      <c r="I14" s="146"/>
    </row>
  </sheetData>
  <mergeCells count="2">
    <mergeCell ref="A1:I1"/>
    <mergeCell ref="B14:C14"/>
  </mergeCells>
  <conditionalFormatting sqref="B11:D11">
    <cfRule type="containsText" dxfId="11" priority="1" operator="containsText" text="GREY ZONE">
      <formula>NOT(ISERROR(SEARCH("GREY ZONE",B11)))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127D-EC49-4298-BCCA-816F703A8067}">
  <sheetPr>
    <tabColor theme="8" tint="0.39997558519241921"/>
    <pageSetUpPr fitToPage="1"/>
  </sheetPr>
  <dimension ref="A1:I7"/>
  <sheetViews>
    <sheetView showGridLines="0" showRowColHeaders="0" showRuler="0" zoomScale="75" zoomScaleNormal="67" workbookViewId="0">
      <selection activeCell="H7" sqref="H7"/>
    </sheetView>
  </sheetViews>
  <sheetFormatPr defaultRowHeight="14.45"/>
  <cols>
    <col min="1" max="1" width="12.5703125" bestFit="1" customWidth="1"/>
    <col min="2" max="2" width="26.5703125" bestFit="1" customWidth="1"/>
    <col min="3" max="3" width="28.7109375" bestFit="1" customWidth="1"/>
    <col min="4" max="4" width="15.28515625" bestFit="1" customWidth="1"/>
    <col min="5" max="5" width="29.85546875" bestFit="1" customWidth="1"/>
    <col min="6" max="6" width="19.5703125" bestFit="1" customWidth="1"/>
    <col min="7" max="7" width="9.85546875" bestFit="1" customWidth="1"/>
    <col min="8" max="8" width="17.28515625" bestFit="1" customWidth="1"/>
    <col min="9" max="9" width="9" bestFit="1" customWidth="1"/>
    <col min="10" max="10" width="10" bestFit="1" customWidth="1"/>
    <col min="11" max="11" width="10.7109375" bestFit="1" customWidth="1"/>
    <col min="15" max="15" width="9.7109375" bestFit="1" customWidth="1"/>
  </cols>
  <sheetData>
    <row r="1" spans="1:9" ht="16.899999999999999">
      <c r="A1" s="172" t="s">
        <v>89</v>
      </c>
      <c r="B1" s="150"/>
      <c r="C1" s="150"/>
      <c r="D1" s="150"/>
      <c r="E1" s="150"/>
      <c r="F1" s="150"/>
      <c r="G1" s="150"/>
      <c r="H1" s="150"/>
      <c r="I1" s="150"/>
    </row>
    <row r="2" spans="1:9" s="29" customFormat="1" ht="26.45">
      <c r="A2" s="30" t="s">
        <v>90</v>
      </c>
      <c r="B2" s="30" t="s">
        <v>91</v>
      </c>
      <c r="C2" s="30" t="s">
        <v>92</v>
      </c>
      <c r="D2" s="30" t="s">
        <v>93</v>
      </c>
      <c r="E2" s="30" t="s">
        <v>94</v>
      </c>
      <c r="F2" s="30" t="s">
        <v>95</v>
      </c>
      <c r="G2" s="30" t="s">
        <v>96</v>
      </c>
      <c r="H2" s="30" t="s">
        <v>97</v>
      </c>
      <c r="I2" s="30" t="s">
        <v>98</v>
      </c>
    </row>
    <row r="3" spans="1:9">
      <c r="A3" s="91" t="s">
        <v>99</v>
      </c>
      <c r="B3" s="92">
        <v>-7.0699999999999999E-2</v>
      </c>
      <c r="C3" s="92">
        <v>0.34039999999999998</v>
      </c>
      <c r="D3" s="92">
        <v>0.1159</v>
      </c>
      <c r="E3" s="92">
        <v>0.87060000000000004</v>
      </c>
      <c r="F3" s="92">
        <v>0.78290000000000004</v>
      </c>
      <c r="G3" s="93">
        <f>(1.2*B3)+(1.4*C3)+(3.3*D3)+(0.6*E3)+(1*F3)</f>
        <v>2.07945</v>
      </c>
      <c r="H3" s="94" t="str">
        <f>IF(G3&gt;2.99,"SAFE ZONE",IF(G3&gt;1.81,"GREY ZONE","DISTRESS ZONE"))</f>
        <v>GREY ZONE</v>
      </c>
      <c r="I3" s="95">
        <f>RANK(G3,$G$3:$G$7,0)</f>
        <v>3</v>
      </c>
    </row>
    <row r="4" spans="1:9">
      <c r="A4" s="36" t="s">
        <v>100</v>
      </c>
      <c r="B4" s="37">
        <v>0.18429999999999999</v>
      </c>
      <c r="C4" s="37">
        <v>0.36990000000000001</v>
      </c>
      <c r="D4" s="37">
        <v>0.10879999999999999</v>
      </c>
      <c r="E4" s="37">
        <v>1.1644000000000001</v>
      </c>
      <c r="F4" s="37">
        <v>0.68779999999999997</v>
      </c>
      <c r="G4" s="38">
        <f>(1.2*B4)+(1.4*C4)+(3.3*D4)+(0.6*E4)+(1*F4)</f>
        <v>2.4844999999999997</v>
      </c>
      <c r="H4" s="34" t="str">
        <f>IF(G4&gt;2.99,"SAFE ZONE",IF(G4&gt;1.81,"GREY ZONE","DISTRESS ZONE"))</f>
        <v>GREY ZONE</v>
      </c>
      <c r="I4" s="39">
        <f>RANK(G4,$G$3:$G$7,0)</f>
        <v>1</v>
      </c>
    </row>
    <row r="5" spans="1:9">
      <c r="A5" s="31" t="s">
        <v>101</v>
      </c>
      <c r="B5" s="32">
        <v>1.03E-2</v>
      </c>
      <c r="C5" s="32">
        <v>0.4138</v>
      </c>
      <c r="D5" s="32">
        <v>8.8300000000000003E-2</v>
      </c>
      <c r="E5" s="32">
        <v>0.57920000000000005</v>
      </c>
      <c r="F5" s="32">
        <v>0.81540000000000001</v>
      </c>
      <c r="G5" s="33">
        <f>(1.2*B5)+(1.4*C5)+(3.3*D5)+(0.6*E5)+(1*F5)</f>
        <v>2.0459900000000002</v>
      </c>
      <c r="H5" s="34" t="str">
        <f>IF(G5&gt;2.99,"SAFE ZONE",IF(G5&gt;1.81,"GREY ZONE","DISTRESS ZONE"))</f>
        <v>GREY ZONE</v>
      </c>
      <c r="I5" s="35">
        <f>RANK(G5,$G$3:$G$7,0)</f>
        <v>4</v>
      </c>
    </row>
    <row r="6" spans="1:9">
      <c r="A6" s="36" t="s">
        <v>102</v>
      </c>
      <c r="B6" s="37">
        <v>-2.18E-2</v>
      </c>
      <c r="C6" s="37">
        <v>0.51959999999999995</v>
      </c>
      <c r="D6" s="37">
        <v>9.8699999999999996E-2</v>
      </c>
      <c r="E6" s="37">
        <v>1.2326999999999999</v>
      </c>
      <c r="F6" s="37">
        <v>0.54449999999999998</v>
      </c>
      <c r="G6" s="38">
        <f>(1.2*B6)+(1.4*C6)+(3.3*D6)+(0.6*E6)+(1*F6)</f>
        <v>2.3111099999999998</v>
      </c>
      <c r="H6" s="34" t="str">
        <f>IF(G6&gt;2.99,"SAFE ZONE",IF(G6&gt;1.81,"GREY ZONE","DISTRESS ZONE"))</f>
        <v>GREY ZONE</v>
      </c>
      <c r="I6" s="39">
        <f>RANK(G6,$G$3:$G$7,0)</f>
        <v>2</v>
      </c>
    </row>
    <row r="7" spans="1:9">
      <c r="A7" s="31" t="s">
        <v>103</v>
      </c>
      <c r="B7" s="32">
        <v>-7.9200000000000007E-2</v>
      </c>
      <c r="C7" s="32">
        <v>0.36270000000000002</v>
      </c>
      <c r="D7" s="32">
        <v>5.3800000000000001E-2</v>
      </c>
      <c r="E7" s="32">
        <v>0.51849999999999996</v>
      </c>
      <c r="F7" s="32">
        <v>0.48309999999999997</v>
      </c>
      <c r="G7" s="33">
        <f>(1.2*B7)+(1.4*C7)+(3.3*D7)+(0.6*E7)+(1*F7)</f>
        <v>1.3844799999999999</v>
      </c>
      <c r="H7" s="40" t="str">
        <f>IF(G7&gt;2.99,"SAFE ZONE",IF(G7&gt;1.81,"GREY ZONE","DISTRESS ZONE"))</f>
        <v>DISTRESS ZONE</v>
      </c>
      <c r="I7" s="35">
        <f>RANK(G7,$G$3:$G$7,0)</f>
        <v>5</v>
      </c>
    </row>
  </sheetData>
  <mergeCells count="1">
    <mergeCell ref="A1:I1"/>
  </mergeCells>
  <conditionalFormatting sqref="I3:I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{B3773D9D-FA7A-40A3-9E8D-AAC495262CE9}</x14:id>
        </ext>
      </extLst>
    </cfRule>
  </conditionalFormatting>
  <pageMargins left="0.7" right="0.7" top="0.75" bottom="0.75" header="0.3" footer="0.3"/>
  <pageSetup scale="53" fitToHeight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773D9D-FA7A-40A3-9E8D-AAC495262C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8198C-790B-41E2-824F-25D267CFAA3E}">
  <sheetPr>
    <tabColor theme="3" tint="0.749992370372631"/>
  </sheetPr>
  <dimension ref="A1:L29"/>
  <sheetViews>
    <sheetView showGridLines="0" showRowColHeaders="0" zoomScale="55" zoomScaleNormal="50" workbookViewId="0">
      <selection activeCell="B28" sqref="B28:J29"/>
    </sheetView>
  </sheetViews>
  <sheetFormatPr defaultColWidth="8.85546875" defaultRowHeight="19.899999999999999" customHeight="1"/>
  <cols>
    <col min="1" max="1" width="35.7109375" style="51" bestFit="1" customWidth="1"/>
    <col min="2" max="2" width="36.5703125" style="51" bestFit="1" customWidth="1"/>
    <col min="3" max="3" width="12.140625" style="51" bestFit="1" customWidth="1"/>
    <col min="4" max="4" width="47.7109375" style="51" customWidth="1"/>
    <col min="5" max="5" width="64.42578125" style="96" customWidth="1"/>
    <col min="6" max="6" width="32.28515625" style="51" bestFit="1" customWidth="1"/>
    <col min="7" max="7" width="27" style="51" customWidth="1"/>
    <col min="8" max="8" width="39.28515625" style="51" bestFit="1" customWidth="1"/>
    <col min="9" max="16384" width="8.85546875" style="51"/>
  </cols>
  <sheetData>
    <row r="1" spans="1:12" ht="27.6">
      <c r="A1" s="184" t="s">
        <v>104</v>
      </c>
      <c r="B1" s="184"/>
      <c r="C1" s="184"/>
      <c r="D1" s="184"/>
      <c r="E1" s="184"/>
      <c r="F1" s="184"/>
      <c r="G1" s="184"/>
      <c r="H1" s="184"/>
      <c r="I1" s="184"/>
      <c r="J1" s="184"/>
    </row>
    <row r="4" spans="1:12" s="124" customFormat="1" ht="19.899999999999999" customHeight="1">
      <c r="B4" s="128" t="s">
        <v>105</v>
      </c>
      <c r="C4" s="125"/>
      <c r="D4" s="126" t="s">
        <v>106</v>
      </c>
      <c r="E4" s="127" t="s">
        <v>107</v>
      </c>
    </row>
    <row r="5" spans="1:12" ht="148.9" customHeight="1">
      <c r="B5" s="129">
        <f>ROUND(ZSCORE!B5,2)</f>
        <v>2.08</v>
      </c>
      <c r="C5" s="123"/>
      <c r="D5" s="97" t="str">
        <f>ZSCORE!B11</f>
        <v>BB/B</v>
      </c>
      <c r="E5" s="145" t="str">
        <f>ZSCORE!B13</f>
        <v>NEUTRAL — Monitor for deterioration, limit credit exposure</v>
      </c>
    </row>
    <row r="6" spans="1:12" ht="19.899999999999999" customHeight="1">
      <c r="A6" s="98"/>
      <c r="B6" s="99" t="str">
        <f>ZSCORE!B7</f>
        <v>GREY ZONE — Monitor closely</v>
      </c>
      <c r="C6" s="100"/>
      <c r="D6" s="99" t="s">
        <v>108</v>
      </c>
      <c r="E6" s="101"/>
      <c r="F6" s="98"/>
      <c r="G6" s="98"/>
      <c r="H6" s="98"/>
      <c r="I6" s="98"/>
      <c r="J6" s="98"/>
      <c r="K6" s="98"/>
      <c r="L6" s="98"/>
    </row>
    <row r="7" spans="1:12" ht="19.899999999999999" customHeight="1">
      <c r="A7" s="98"/>
      <c r="B7" s="102"/>
      <c r="C7" s="98"/>
      <c r="D7" s="103"/>
      <c r="E7" s="101"/>
      <c r="F7" s="104"/>
      <c r="G7" s="105"/>
      <c r="H7" s="105"/>
      <c r="I7" s="98"/>
      <c r="J7" s="98"/>
      <c r="K7" s="98"/>
      <c r="L7" s="98"/>
    </row>
    <row r="8" spans="1:12" s="52" customFormat="1" ht="19.899999999999999" customHeight="1">
      <c r="A8" s="99" t="s">
        <v>97</v>
      </c>
      <c r="B8" s="185">
        <f>ZSCORE!B9</f>
        <v>6</v>
      </c>
      <c r="C8" s="186"/>
      <c r="D8" s="106" t="s">
        <v>109</v>
      </c>
      <c r="E8" s="107">
        <f>INPUTS!B6</f>
        <v>46082</v>
      </c>
      <c r="F8" s="108"/>
      <c r="G8" s="108" t="s">
        <v>4</v>
      </c>
      <c r="H8" s="109">
        <f ca="1">INPUTS!B4</f>
        <v>46304</v>
      </c>
      <c r="I8" s="110"/>
      <c r="J8" s="110"/>
      <c r="K8" s="110"/>
      <c r="L8" s="110"/>
    </row>
    <row r="9" spans="1:12" ht="19.899999999999999" customHeight="1">
      <c r="A9" s="98"/>
      <c r="B9" s="98"/>
      <c r="C9" s="98"/>
      <c r="D9" s="98"/>
      <c r="E9" s="101"/>
      <c r="F9" s="98"/>
      <c r="G9" s="98"/>
      <c r="H9" s="98"/>
      <c r="I9" s="98"/>
      <c r="J9" s="98"/>
      <c r="K9" s="98"/>
      <c r="L9" s="98"/>
    </row>
    <row r="10" spans="1:12" ht="19.899999999999999" customHeight="1">
      <c r="B10" s="111" t="s">
        <v>110</v>
      </c>
      <c r="C10" s="98"/>
      <c r="D10" s="98"/>
      <c r="E10" s="98"/>
      <c r="I10" s="98"/>
      <c r="J10" s="98"/>
      <c r="K10" s="98"/>
      <c r="L10" s="98"/>
    </row>
    <row r="11" spans="1:12" s="52" customFormat="1" ht="19.899999999999999" customHeight="1">
      <c r="B11" s="113" t="s">
        <v>111</v>
      </c>
      <c r="C11" s="108" t="s">
        <v>50</v>
      </c>
      <c r="D11" s="108" t="s">
        <v>51</v>
      </c>
      <c r="E11" s="114" t="s">
        <v>53</v>
      </c>
      <c r="F11" s="112" t="s">
        <v>112</v>
      </c>
      <c r="G11" s="100"/>
      <c r="H11" s="100"/>
      <c r="I11" s="110"/>
      <c r="J11" s="110"/>
      <c r="K11" s="110"/>
    </row>
    <row r="12" spans="1:12" ht="18">
      <c r="B12" s="115" t="s">
        <v>113</v>
      </c>
      <c r="C12" s="116">
        <f>ROUND(RATIOS!C7,2)</f>
        <v>0.34</v>
      </c>
      <c r="D12" s="117">
        <v>1.2</v>
      </c>
      <c r="E12" s="118" t="str">
        <f>RATIOS!G5</f>
        <v>DISTRESS — negative working capital</v>
      </c>
      <c r="F12" s="99" t="s">
        <v>76</v>
      </c>
      <c r="G12" s="99" t="s">
        <v>96</v>
      </c>
      <c r="H12" s="99" t="s">
        <v>66</v>
      </c>
      <c r="I12" s="98"/>
      <c r="J12" s="98"/>
      <c r="K12" s="98"/>
    </row>
    <row r="13" spans="1:12" ht="18">
      <c r="B13" s="115" t="s">
        <v>114</v>
      </c>
      <c r="C13" s="116">
        <f>ROUND(RATIOS!C8,2)</f>
        <v>0</v>
      </c>
      <c r="D13" s="117">
        <v>1.4</v>
      </c>
      <c r="E13" s="118" t="str">
        <f>RATIOS!G7</f>
        <v>HEALTHY — strong retained profits</v>
      </c>
      <c r="F13" s="100" t="s">
        <v>115</v>
      </c>
      <c r="G13" s="100">
        <f>ROUND(STRESS_TEST!B10,2)</f>
        <v>2.08</v>
      </c>
      <c r="H13" s="100" t="str">
        <f>STRESS_TEST!B11</f>
        <v>GREY ZONE — Monitor closely</v>
      </c>
      <c r="I13" s="98"/>
      <c r="J13" s="98"/>
      <c r="K13" s="98"/>
    </row>
    <row r="14" spans="1:12" ht="18">
      <c r="B14" s="115" t="s">
        <v>116</v>
      </c>
      <c r="C14" s="116">
        <f>ROUND(RATIOS!C9,2)</f>
        <v>0.12</v>
      </c>
      <c r="D14" s="117">
        <v>3.3</v>
      </c>
      <c r="E14" s="118" t="str">
        <f>RATIOS!G9</f>
        <v>MODERATE — low ROA</v>
      </c>
      <c r="F14" s="100" t="s">
        <v>117</v>
      </c>
      <c r="G14" s="100">
        <f>ROUND(STRESS_TEST!C10,2)</f>
        <v>1.96</v>
      </c>
      <c r="H14" s="100" t="str">
        <f>STRESS_TEST!C11</f>
        <v>GREY ZONE — Monitor closely</v>
      </c>
      <c r="I14" s="98"/>
      <c r="J14" s="98"/>
      <c r="K14" s="98"/>
    </row>
    <row r="15" spans="1:12" ht="18">
      <c r="B15" s="115" t="s">
        <v>118</v>
      </c>
      <c r="C15" s="116">
        <f>ROUND(RATIOS!C10,2)</f>
        <v>0</v>
      </c>
      <c r="D15" s="117">
        <v>0.6</v>
      </c>
      <c r="E15" s="118" t="str">
        <f>RATIOS!G11</f>
        <v>DISTRESS — market doubts solvency</v>
      </c>
      <c r="F15" s="100" t="s">
        <v>119</v>
      </c>
      <c r="G15" s="100">
        <f>ROUND(STRESS_TEST!D10,2)</f>
        <v>1.83</v>
      </c>
      <c r="H15" s="100" t="str">
        <f>STRESS_TEST!D11</f>
        <v>GREY ZONE — Monitor closely</v>
      </c>
      <c r="I15" s="98"/>
      <c r="J15" s="98"/>
      <c r="K15" s="98"/>
    </row>
    <row r="16" spans="1:12" ht="18">
      <c r="B16" s="119" t="s">
        <v>120</v>
      </c>
      <c r="C16" s="120">
        <f>ROUND(RATIOS!C11,2)</f>
        <v>0.87</v>
      </c>
      <c r="D16" s="121">
        <v>1</v>
      </c>
      <c r="E16" s="122" t="str">
        <f>RATIOS!G13</f>
        <v>MODERATE — average efficiency</v>
      </c>
      <c r="F16" s="100"/>
      <c r="G16" s="100">
        <f>ROUND(STRESS_TEST!B10,2)</f>
        <v>2.08</v>
      </c>
      <c r="H16" s="100"/>
      <c r="I16" s="98"/>
      <c r="J16" s="98"/>
      <c r="K16" s="98"/>
    </row>
    <row r="17" spans="1:12" ht="19.899999999999999" customHeight="1">
      <c r="A17" s="98"/>
      <c r="B17" s="98"/>
      <c r="C17" s="98"/>
      <c r="D17" s="98"/>
      <c r="E17" s="101"/>
      <c r="F17" s="98"/>
      <c r="G17" s="98"/>
      <c r="H17" s="98"/>
      <c r="I17" s="98"/>
      <c r="J17" s="98"/>
      <c r="K17" s="98"/>
      <c r="L17" s="98"/>
    </row>
    <row r="18" spans="1:12" ht="19.899999999999999" customHeight="1">
      <c r="A18" s="98"/>
      <c r="B18" s="98"/>
      <c r="C18" s="98"/>
      <c r="D18" s="98"/>
      <c r="E18" s="101"/>
      <c r="F18" s="98"/>
      <c r="G18" s="98"/>
      <c r="H18" s="98"/>
      <c r="I18" s="98"/>
      <c r="J18" s="98"/>
      <c r="K18" s="98"/>
      <c r="L18" s="98"/>
    </row>
    <row r="19" spans="1:12" ht="19.899999999999999" customHeight="1">
      <c r="A19" s="98"/>
      <c r="B19" s="98"/>
      <c r="C19" s="98"/>
      <c r="D19" s="98"/>
      <c r="E19" s="101"/>
      <c r="F19" s="98"/>
      <c r="G19" s="98"/>
      <c r="H19" s="98"/>
      <c r="I19" s="98"/>
      <c r="J19" s="98"/>
      <c r="K19" s="98"/>
      <c r="L19" s="98"/>
    </row>
    <row r="20" spans="1:12" ht="19.899999999999999" customHeight="1">
      <c r="A20" s="98"/>
      <c r="B20" s="98"/>
      <c r="C20" s="98"/>
      <c r="D20" s="98"/>
      <c r="E20" s="101"/>
      <c r="F20" s="98"/>
      <c r="G20" s="98"/>
      <c r="H20" s="98"/>
      <c r="I20" s="98"/>
      <c r="J20" s="98"/>
      <c r="K20" s="98"/>
      <c r="L20" s="98"/>
    </row>
    <row r="21" spans="1:12" ht="19.899999999999999" customHeight="1">
      <c r="A21" s="98"/>
      <c r="B21" s="98"/>
      <c r="C21" s="98"/>
      <c r="D21" s="98"/>
      <c r="E21" s="101"/>
      <c r="F21" s="98"/>
      <c r="G21" s="98"/>
      <c r="H21" s="98"/>
      <c r="I21" s="98"/>
      <c r="J21" s="98"/>
      <c r="K21" s="98"/>
      <c r="L21" s="98"/>
    </row>
    <row r="22" spans="1:12" ht="19.899999999999999" customHeight="1">
      <c r="A22" s="98"/>
      <c r="B22" s="183" t="s">
        <v>121</v>
      </c>
      <c r="C22" s="183"/>
      <c r="D22" s="183"/>
      <c r="E22" s="101"/>
      <c r="F22" s="98"/>
      <c r="G22" s="98"/>
      <c r="H22" s="98"/>
      <c r="I22" s="98"/>
      <c r="J22" s="98"/>
      <c r="K22" s="98"/>
      <c r="L22" s="98"/>
    </row>
    <row r="23" spans="1:12" ht="19.899999999999999" customHeight="1">
      <c r="A23" s="98"/>
      <c r="B23" s="173" t="s">
        <v>122</v>
      </c>
      <c r="C23" s="174"/>
      <c r="D23" s="174"/>
      <c r="E23" s="174"/>
      <c r="F23" s="174"/>
      <c r="G23" s="174"/>
      <c r="H23" s="174"/>
      <c r="I23" s="174"/>
      <c r="J23" s="175"/>
      <c r="K23" s="98"/>
      <c r="L23" s="98"/>
    </row>
    <row r="24" spans="1:12" ht="19.899999999999999" customHeight="1">
      <c r="A24" s="98"/>
      <c r="B24" s="176"/>
      <c r="C24" s="177"/>
      <c r="D24" s="177"/>
      <c r="E24" s="177"/>
      <c r="F24" s="177"/>
      <c r="G24" s="177"/>
      <c r="H24" s="177"/>
      <c r="I24" s="177"/>
      <c r="J24" s="178"/>
      <c r="K24" s="98"/>
      <c r="L24" s="98"/>
    </row>
    <row r="25" spans="1:12" ht="19.899999999999999" customHeight="1">
      <c r="A25" s="98"/>
      <c r="B25" s="176"/>
      <c r="C25" s="177"/>
      <c r="D25" s="177"/>
      <c r="E25" s="177"/>
      <c r="F25" s="177"/>
      <c r="G25" s="177"/>
      <c r="H25" s="177"/>
      <c r="I25" s="177"/>
      <c r="J25" s="178"/>
      <c r="K25" s="98"/>
      <c r="L25" s="98"/>
    </row>
    <row r="26" spans="1:12" ht="55.9" customHeight="1">
      <c r="A26" s="98"/>
      <c r="B26" s="179"/>
      <c r="C26" s="180"/>
      <c r="D26" s="180"/>
      <c r="E26" s="180"/>
      <c r="F26" s="180"/>
      <c r="G26" s="180"/>
      <c r="H26" s="180"/>
      <c r="I26" s="180"/>
      <c r="J26" s="181"/>
      <c r="K26" s="98"/>
      <c r="L26" s="98"/>
    </row>
    <row r="27" spans="1:12" ht="19.899999999999999" customHeight="1">
      <c r="A27" s="98"/>
      <c r="B27" s="98"/>
      <c r="C27" s="98"/>
      <c r="D27" s="98"/>
      <c r="E27" s="101"/>
      <c r="F27" s="98"/>
      <c r="G27" s="98"/>
      <c r="H27" s="98"/>
      <c r="I27" s="98"/>
      <c r="J27" s="98"/>
      <c r="K27" s="98"/>
      <c r="L27" s="98"/>
    </row>
    <row r="28" spans="1:12" ht="19.899999999999999" customHeight="1">
      <c r="A28" s="98"/>
      <c r="B28" s="182" t="s">
        <v>123</v>
      </c>
      <c r="C28" s="182"/>
      <c r="D28" s="182"/>
      <c r="E28" s="182"/>
      <c r="F28" s="182"/>
      <c r="G28" s="182"/>
      <c r="H28" s="182"/>
      <c r="I28" s="182"/>
      <c r="J28" s="182"/>
      <c r="K28" s="98"/>
      <c r="L28" s="98"/>
    </row>
    <row r="29" spans="1:12" ht="19.899999999999999" customHeight="1">
      <c r="A29" s="98"/>
      <c r="B29" s="182"/>
      <c r="C29" s="182"/>
      <c r="D29" s="182"/>
      <c r="E29" s="182"/>
      <c r="F29" s="182"/>
      <c r="G29" s="182"/>
      <c r="H29" s="182"/>
      <c r="I29" s="182"/>
      <c r="J29" s="182"/>
      <c r="K29" s="98"/>
      <c r="L29" s="98"/>
    </row>
  </sheetData>
  <mergeCells count="5">
    <mergeCell ref="B23:J26"/>
    <mergeCell ref="B28:J29"/>
    <mergeCell ref="B22:D22"/>
    <mergeCell ref="A1:J1"/>
    <mergeCell ref="B8:C8"/>
  </mergeCells>
  <phoneticPr fontId="55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F063D93-89E5-467E-B4D6-C23859C2F1CF}">
            <xm:f>NOT(ISERROR(SEARCH($H$13,H13)))</xm:f>
            <xm:f>$H$13</xm:f>
            <x14:dxf>
              <fill>
                <patternFill>
                  <bgColor rgb="FFFFCC66"/>
                </patternFill>
              </fill>
            </x14:dxf>
          </x14:cfRule>
          <xm:sqref>H13:H15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394F-7E75-4C45-950A-D61D8DE42279}">
  <sheetPr>
    <tabColor theme="6" tint="0.79998168889431442"/>
  </sheetPr>
  <dimension ref="A1:P21"/>
  <sheetViews>
    <sheetView showRowColHeaders="0" tabSelected="1" workbookViewId="0">
      <selection activeCell="S14" sqref="S14"/>
    </sheetView>
  </sheetViews>
  <sheetFormatPr defaultColWidth="8.85546875" defaultRowHeight="14.45"/>
  <cols>
    <col min="1" max="1" width="16.7109375" style="132" bestFit="1" customWidth="1"/>
    <col min="2" max="3" width="8.140625" style="130" bestFit="1" customWidth="1"/>
    <col min="4" max="5" width="8.85546875" style="130"/>
    <col min="6" max="6" width="15.28515625" style="130" bestFit="1" customWidth="1"/>
    <col min="7" max="8" width="8.140625" style="130" bestFit="1" customWidth="1"/>
    <col min="9" max="10" width="8.85546875" style="130"/>
    <col min="11" max="11" width="26.85546875" style="130" bestFit="1" customWidth="1"/>
    <col min="12" max="12" width="8.140625" style="130" bestFit="1" customWidth="1"/>
    <col min="13" max="13" width="8.28515625" style="130" bestFit="1" customWidth="1"/>
    <col min="14" max="15" width="8.140625" style="130" bestFit="1" customWidth="1"/>
    <col min="16" max="16" width="6.5703125" style="130" bestFit="1" customWidth="1"/>
    <col min="17" max="16384" width="8.85546875" style="130"/>
  </cols>
  <sheetData>
    <row r="1" spans="1:16" s="131" customFormat="1" ht="23.45">
      <c r="A1" s="133" t="s">
        <v>124</v>
      </c>
      <c r="B1" s="134"/>
      <c r="C1" s="134"/>
      <c r="F1" s="133" t="s">
        <v>125</v>
      </c>
      <c r="G1" s="134"/>
      <c r="H1" s="134"/>
      <c r="K1" s="133" t="s">
        <v>126</v>
      </c>
      <c r="L1" s="134"/>
      <c r="M1" s="134"/>
      <c r="N1" s="134"/>
      <c r="O1" s="134"/>
      <c r="P1" s="134"/>
    </row>
    <row r="2" spans="1:16" ht="28.9">
      <c r="A2" s="135" t="s">
        <v>124</v>
      </c>
      <c r="B2" s="136">
        <v>45717</v>
      </c>
      <c r="C2" s="136">
        <v>46082</v>
      </c>
      <c r="F2" s="135" t="s">
        <v>125</v>
      </c>
      <c r="G2" s="136">
        <v>45717</v>
      </c>
      <c r="H2" s="136">
        <v>46082</v>
      </c>
      <c r="K2" s="135" t="s">
        <v>127</v>
      </c>
      <c r="L2" s="135" t="s">
        <v>99</v>
      </c>
      <c r="M2" s="135" t="s">
        <v>100</v>
      </c>
      <c r="N2" s="135" t="s">
        <v>101</v>
      </c>
      <c r="O2" s="135" t="s">
        <v>102</v>
      </c>
      <c r="P2" s="135" t="s">
        <v>103</v>
      </c>
    </row>
    <row r="3" spans="1:16">
      <c r="A3" s="137" t="s">
        <v>128</v>
      </c>
      <c r="B3" s="138">
        <v>1247</v>
      </c>
      <c r="C3" s="138">
        <v>1247</v>
      </c>
      <c r="F3" s="137" t="s">
        <v>129</v>
      </c>
      <c r="G3" s="138">
        <v>218543</v>
      </c>
      <c r="H3" s="138">
        <v>232140</v>
      </c>
      <c r="K3" s="137" t="s">
        <v>130</v>
      </c>
      <c r="L3" s="138">
        <v>81021</v>
      </c>
      <c r="M3" s="138">
        <v>120014</v>
      </c>
      <c r="N3" s="138">
        <v>45016</v>
      </c>
      <c r="O3" s="138">
        <v>22120</v>
      </c>
      <c r="P3" s="138">
        <v>8215</v>
      </c>
    </row>
    <row r="4" spans="1:16">
      <c r="A4" s="137" t="s">
        <v>131</v>
      </c>
      <c r="B4" s="138">
        <v>89922</v>
      </c>
      <c r="C4" s="138">
        <v>100920</v>
      </c>
      <c r="F4" s="137" t="s">
        <v>132</v>
      </c>
      <c r="G4" s="138">
        <v>193244</v>
      </c>
      <c r="H4" s="138">
        <v>197788</v>
      </c>
      <c r="K4" s="137" t="s">
        <v>133</v>
      </c>
      <c r="L4" s="138">
        <v>101885</v>
      </c>
      <c r="M4" s="138">
        <v>70313</v>
      </c>
      <c r="N4" s="138">
        <v>43813</v>
      </c>
      <c r="O4" s="138">
        <v>24253</v>
      </c>
      <c r="P4" s="138">
        <v>10451</v>
      </c>
    </row>
    <row r="5" spans="1:16">
      <c r="A5" s="137" t="s">
        <v>134</v>
      </c>
      <c r="B5" s="138">
        <v>94801</v>
      </c>
      <c r="C5" s="138">
        <v>92382</v>
      </c>
      <c r="F5" s="137" t="s">
        <v>135</v>
      </c>
      <c r="G5" s="138">
        <v>25298</v>
      </c>
      <c r="H5" s="138">
        <v>34352</v>
      </c>
      <c r="K5" s="137" t="s">
        <v>136</v>
      </c>
      <c r="L5" s="138">
        <v>296515</v>
      </c>
      <c r="M5" s="138">
        <v>209676</v>
      </c>
      <c r="N5" s="138">
        <v>135896</v>
      </c>
      <c r="O5" s="138">
        <v>97762</v>
      </c>
      <c r="P5" s="138">
        <v>28237</v>
      </c>
    </row>
    <row r="6" spans="1:16" ht="28.9">
      <c r="A6" s="137" t="s">
        <v>137</v>
      </c>
      <c r="B6" s="138">
        <v>89400</v>
      </c>
      <c r="C6" s="138">
        <v>101965</v>
      </c>
      <c r="F6" s="137" t="s">
        <v>138</v>
      </c>
      <c r="G6" s="139">
        <v>0.12</v>
      </c>
      <c r="H6" s="139">
        <v>0.15</v>
      </c>
      <c r="K6" s="137" t="s">
        <v>139</v>
      </c>
      <c r="L6" s="138">
        <v>100920</v>
      </c>
      <c r="M6" s="138">
        <v>99748</v>
      </c>
      <c r="N6" s="138">
        <v>56225</v>
      </c>
      <c r="O6" s="138">
        <v>50797</v>
      </c>
      <c r="P6" s="138">
        <v>10243</v>
      </c>
    </row>
    <row r="7" spans="1:16">
      <c r="A7" s="137" t="s">
        <v>140</v>
      </c>
      <c r="B7" s="137">
        <v>183</v>
      </c>
      <c r="C7" s="138">
        <v>1613</v>
      </c>
      <c r="F7" s="137" t="s">
        <v>141</v>
      </c>
      <c r="G7" s="137">
        <v>877</v>
      </c>
      <c r="H7" s="137">
        <v>738</v>
      </c>
      <c r="K7" s="137" t="s">
        <v>142</v>
      </c>
      <c r="L7" s="138">
        <v>34352</v>
      </c>
      <c r="M7" s="138">
        <v>20346</v>
      </c>
      <c r="N7" s="138">
        <v>12000</v>
      </c>
      <c r="O7" s="138">
        <v>9644</v>
      </c>
      <c r="P7" s="138">
        <v>1518</v>
      </c>
    </row>
    <row r="8" spans="1:16">
      <c r="A8" s="137" t="s">
        <v>143</v>
      </c>
      <c r="B8" s="138">
        <v>29314</v>
      </c>
      <c r="C8" s="138">
        <v>34810</v>
      </c>
      <c r="F8" s="137" t="s">
        <v>144</v>
      </c>
      <c r="G8" s="138">
        <v>7341</v>
      </c>
      <c r="H8" s="138">
        <v>7167</v>
      </c>
      <c r="K8" s="137" t="s">
        <v>145</v>
      </c>
      <c r="L8" s="138">
        <v>232140</v>
      </c>
      <c r="M8" s="138">
        <v>185470</v>
      </c>
      <c r="N8" s="138">
        <v>110811</v>
      </c>
      <c r="O8" s="138">
        <v>53225</v>
      </c>
      <c r="P8" s="138">
        <v>13642</v>
      </c>
    </row>
    <row r="9" spans="1:16" ht="28.9">
      <c r="A9" s="137" t="s">
        <v>146</v>
      </c>
      <c r="B9" s="138">
        <v>1655</v>
      </c>
      <c r="C9" s="141"/>
      <c r="F9" s="137" t="s">
        <v>147</v>
      </c>
      <c r="G9" s="138">
        <v>10421</v>
      </c>
      <c r="H9" s="138">
        <v>11955</v>
      </c>
      <c r="K9" s="137" t="s">
        <v>148</v>
      </c>
      <c r="L9" s="138">
        <v>250148</v>
      </c>
      <c r="M9" s="138">
        <v>313898</v>
      </c>
      <c r="N9" s="138">
        <v>78711</v>
      </c>
      <c r="O9" s="138">
        <v>120503</v>
      </c>
      <c r="P9" s="138">
        <v>14841</v>
      </c>
    </row>
    <row r="10" spans="1:16">
      <c r="A10" s="137" t="s">
        <v>149</v>
      </c>
      <c r="B10" s="138">
        <v>58335</v>
      </c>
      <c r="C10" s="138">
        <v>70282</v>
      </c>
      <c r="F10" s="137" t="s">
        <v>150</v>
      </c>
      <c r="G10" s="138">
        <v>8413</v>
      </c>
      <c r="H10" s="138">
        <v>15969</v>
      </c>
      <c r="K10" s="137" t="s">
        <v>151</v>
      </c>
      <c r="L10" s="138">
        <v>296515</v>
      </c>
      <c r="M10" s="138">
        <v>209676</v>
      </c>
      <c r="N10" s="138">
        <v>135896</v>
      </c>
      <c r="O10" s="138">
        <v>97762</v>
      </c>
      <c r="P10" s="138">
        <v>28237</v>
      </c>
    </row>
    <row r="11" spans="1:16">
      <c r="A11" s="137" t="s">
        <v>34</v>
      </c>
      <c r="B11" s="138">
        <v>275459</v>
      </c>
      <c r="C11" s="138">
        <v>296515</v>
      </c>
      <c r="F11" s="137" t="s">
        <v>152</v>
      </c>
      <c r="G11" s="139">
        <v>0.62</v>
      </c>
      <c r="H11" s="139">
        <v>0.32</v>
      </c>
    </row>
    <row r="12" spans="1:16">
      <c r="A12" s="137" t="s">
        <v>153</v>
      </c>
      <c r="B12" s="138">
        <v>150914</v>
      </c>
      <c r="C12" s="138">
        <v>179908</v>
      </c>
      <c r="F12" s="137" t="s">
        <v>154</v>
      </c>
      <c r="G12" s="138">
        <v>3174</v>
      </c>
      <c r="H12" s="138">
        <v>10806</v>
      </c>
    </row>
    <row r="13" spans="1:16">
      <c r="A13" s="137" t="s">
        <v>155</v>
      </c>
      <c r="B13" s="138">
        <v>41622</v>
      </c>
      <c r="C13" s="138">
        <v>28497</v>
      </c>
      <c r="F13" s="137" t="s">
        <v>156</v>
      </c>
      <c r="G13" s="137">
        <v>2.74</v>
      </c>
      <c r="H13" s="137">
        <v>8.65</v>
      </c>
    </row>
    <row r="14" spans="1:16" ht="28.9">
      <c r="A14" s="137" t="s">
        <v>157</v>
      </c>
      <c r="B14" s="138">
        <v>6194</v>
      </c>
      <c r="C14" s="138">
        <v>7089</v>
      </c>
      <c r="F14" s="137" t="s">
        <v>158</v>
      </c>
      <c r="G14" s="139">
        <v>1.31</v>
      </c>
      <c r="H14" s="139">
        <v>0.46</v>
      </c>
    </row>
    <row r="15" spans="1:16">
      <c r="A15" s="137" t="s">
        <v>159</v>
      </c>
      <c r="B15" s="138">
        <v>76728</v>
      </c>
      <c r="C15" s="138">
        <v>81021</v>
      </c>
    </row>
    <row r="16" spans="1:16">
      <c r="A16" s="137" t="s">
        <v>160</v>
      </c>
      <c r="B16" s="138">
        <v>44590</v>
      </c>
      <c r="C16" s="138">
        <v>47249</v>
      </c>
    </row>
    <row r="17" spans="1:13" ht="15.6">
      <c r="A17" s="137" t="s">
        <v>161</v>
      </c>
      <c r="B17" s="138">
        <v>5260</v>
      </c>
      <c r="C17" s="138">
        <v>4917</v>
      </c>
      <c r="H17" s="142" t="s">
        <v>162</v>
      </c>
      <c r="I17" s="143"/>
      <c r="J17" s="143"/>
      <c r="K17" s="143"/>
      <c r="L17" s="144"/>
    </row>
    <row r="18" spans="1:13">
      <c r="A18" s="137" t="s">
        <v>163</v>
      </c>
      <c r="B18" s="138">
        <v>11647</v>
      </c>
      <c r="C18" s="138">
        <v>10058</v>
      </c>
    </row>
    <row r="19" spans="1:13">
      <c r="A19" s="137" t="s">
        <v>164</v>
      </c>
      <c r="B19" s="137">
        <v>-146</v>
      </c>
      <c r="C19" s="138">
        <v>1662</v>
      </c>
      <c r="M19" s="140"/>
    </row>
    <row r="20" spans="1:13">
      <c r="A20" s="137" t="s">
        <v>165</v>
      </c>
      <c r="B20" s="138">
        <v>15377</v>
      </c>
      <c r="C20" s="138">
        <v>21875</v>
      </c>
    </row>
    <row r="21" spans="1:13">
      <c r="A21" s="137" t="s">
        <v>32</v>
      </c>
      <c r="B21" s="138">
        <v>275459</v>
      </c>
      <c r="C21" s="138">
        <v>296515</v>
      </c>
    </row>
  </sheetData>
  <conditionalFormatting sqref="A1:XFD16 A18:XFD1048576 A17:G17 I17:XFD17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24FB-8AA9-41C7-B162-991CD1A20922}">
  <dimension ref="A1:Q23"/>
  <sheetViews>
    <sheetView topLeftCell="B3" workbookViewId="0">
      <selection activeCell="F20" sqref="F20"/>
    </sheetView>
  </sheetViews>
  <sheetFormatPr defaultRowHeight="14.45"/>
  <cols>
    <col min="1" max="1" width="43.7109375" bestFit="1" customWidth="1"/>
    <col min="2" max="3" width="9.7109375" bestFit="1" customWidth="1"/>
    <col min="6" max="6" width="43.7109375" bestFit="1" customWidth="1"/>
    <col min="12" max="12" width="32.42578125" bestFit="1" customWidth="1"/>
    <col min="13" max="14" width="8.7109375" bestFit="1" customWidth="1"/>
    <col min="15" max="15" width="8.140625" bestFit="1" customWidth="1"/>
    <col min="16" max="16" width="10" bestFit="1" customWidth="1"/>
    <col min="17" max="17" width="10.42578125" bestFit="1" customWidth="1"/>
  </cols>
  <sheetData>
    <row r="1" spans="1:17" ht="22.9">
      <c r="A1" s="3" t="s">
        <v>124</v>
      </c>
      <c r="B1" s="146"/>
      <c r="C1" s="146"/>
      <c r="D1" s="146"/>
      <c r="E1" s="146"/>
      <c r="F1" s="3" t="s">
        <v>125</v>
      </c>
      <c r="G1" s="146"/>
      <c r="H1" s="146"/>
      <c r="I1" s="146"/>
      <c r="J1" s="146"/>
      <c r="K1" s="41"/>
      <c r="L1" s="42" t="s">
        <v>127</v>
      </c>
      <c r="M1" s="43" t="s">
        <v>99</v>
      </c>
      <c r="N1" s="43" t="s">
        <v>100</v>
      </c>
      <c r="O1" s="43" t="s">
        <v>101</v>
      </c>
      <c r="P1" s="43" t="s">
        <v>102</v>
      </c>
      <c r="Q1" s="43" t="s">
        <v>103</v>
      </c>
    </row>
    <row r="2" spans="1:17">
      <c r="A2" s="4" t="s">
        <v>162</v>
      </c>
      <c r="B2" s="146"/>
      <c r="C2" s="146"/>
      <c r="D2" s="146"/>
      <c r="E2" s="146"/>
      <c r="F2" s="4" t="s">
        <v>162</v>
      </c>
      <c r="G2" s="146"/>
      <c r="H2" s="146"/>
      <c r="I2" s="146"/>
      <c r="J2" s="146"/>
      <c r="K2" s="44">
        <v>1</v>
      </c>
      <c r="L2" s="42" t="s">
        <v>166</v>
      </c>
      <c r="M2" s="45">
        <v>81021</v>
      </c>
      <c r="N2" s="46">
        <v>120014</v>
      </c>
      <c r="O2" s="46">
        <v>45016</v>
      </c>
      <c r="P2" s="46">
        <v>22120</v>
      </c>
      <c r="Q2" s="46">
        <v>8215</v>
      </c>
    </row>
    <row r="3" spans="1:17">
      <c r="A3" s="5" t="s">
        <v>167</v>
      </c>
      <c r="B3" s="146"/>
      <c r="C3" s="146"/>
      <c r="D3" s="146"/>
      <c r="E3" s="146"/>
      <c r="F3" s="5" t="s">
        <v>168</v>
      </c>
      <c r="G3" s="146"/>
      <c r="H3" s="146"/>
      <c r="I3" s="146"/>
      <c r="J3" s="146"/>
      <c r="K3" s="44">
        <v>2</v>
      </c>
      <c r="L3" s="42" t="s">
        <v>169</v>
      </c>
      <c r="M3" s="47">
        <v>101965</v>
      </c>
      <c r="N3" s="46">
        <v>70313</v>
      </c>
      <c r="O3" s="46">
        <v>43613</v>
      </c>
      <c r="P3" s="46">
        <v>24253</v>
      </c>
      <c r="Q3" s="46">
        <v>10451</v>
      </c>
    </row>
    <row r="4" spans="1:17" ht="15" thickBot="1">
      <c r="A4" s="6"/>
      <c r="B4" s="7">
        <v>45717</v>
      </c>
      <c r="C4" s="7">
        <v>46082</v>
      </c>
      <c r="D4" s="146"/>
      <c r="E4" s="146"/>
      <c r="F4" s="6"/>
      <c r="G4" s="7">
        <v>45717</v>
      </c>
      <c r="H4" s="7">
        <v>46082</v>
      </c>
      <c r="I4" s="146"/>
      <c r="J4" s="146"/>
      <c r="K4" s="44">
        <v>3</v>
      </c>
      <c r="L4" s="42" t="s">
        <v>32</v>
      </c>
      <c r="M4" s="47">
        <v>296515</v>
      </c>
      <c r="N4" s="46">
        <v>269676</v>
      </c>
      <c r="O4" s="46">
        <v>135896</v>
      </c>
      <c r="P4" s="46">
        <v>97762</v>
      </c>
      <c r="Q4" s="46">
        <v>28237</v>
      </c>
    </row>
    <row r="5" spans="1:17">
      <c r="A5" s="2" t="s">
        <v>128</v>
      </c>
      <c r="B5" s="9">
        <v>1247</v>
      </c>
      <c r="C5" s="9">
        <v>1247</v>
      </c>
      <c r="D5" s="146"/>
      <c r="E5" s="146"/>
      <c r="F5" s="16" t="s">
        <v>170</v>
      </c>
      <c r="G5" s="17">
        <v>218543</v>
      </c>
      <c r="H5" s="17">
        <v>232140</v>
      </c>
      <c r="I5" s="146"/>
      <c r="J5" s="146"/>
      <c r="K5" s="44">
        <v>4</v>
      </c>
      <c r="L5" s="42" t="s">
        <v>171</v>
      </c>
      <c r="M5" s="47">
        <v>100920</v>
      </c>
      <c r="N5" s="46">
        <v>99748</v>
      </c>
      <c r="O5" s="46">
        <v>56225</v>
      </c>
      <c r="P5" s="46">
        <v>50797</v>
      </c>
      <c r="Q5" s="46">
        <v>10243</v>
      </c>
    </row>
    <row r="6" spans="1:17" ht="15" thickBot="1">
      <c r="A6" s="12" t="s">
        <v>131</v>
      </c>
      <c r="B6" s="13">
        <v>89922</v>
      </c>
      <c r="C6" s="13">
        <v>100920</v>
      </c>
      <c r="D6" s="146"/>
      <c r="E6" s="146"/>
      <c r="F6" s="1" t="s">
        <v>172</v>
      </c>
      <c r="G6" s="10">
        <v>193244</v>
      </c>
      <c r="H6" s="10">
        <v>197788</v>
      </c>
      <c r="I6" s="146"/>
      <c r="J6" s="146"/>
      <c r="K6" s="44">
        <v>5</v>
      </c>
      <c r="L6" s="42" t="s">
        <v>41</v>
      </c>
      <c r="M6" s="45">
        <v>34352</v>
      </c>
      <c r="N6" s="46">
        <v>29346</v>
      </c>
      <c r="O6" s="46">
        <v>12000</v>
      </c>
      <c r="P6" s="46">
        <v>9644</v>
      </c>
      <c r="Q6" s="46">
        <v>1518</v>
      </c>
    </row>
    <row r="7" spans="1:17" ht="15" thickBot="1">
      <c r="A7" s="2" t="s">
        <v>173</v>
      </c>
      <c r="B7" s="9">
        <v>94801</v>
      </c>
      <c r="C7" s="9">
        <v>92382</v>
      </c>
      <c r="D7" s="146"/>
      <c r="E7" s="146"/>
      <c r="F7" s="60" t="s">
        <v>135</v>
      </c>
      <c r="G7" s="57">
        <v>25298</v>
      </c>
      <c r="H7" s="57">
        <v>34352</v>
      </c>
      <c r="I7" s="146"/>
      <c r="J7" s="146"/>
      <c r="K7" s="44">
        <v>6</v>
      </c>
      <c r="L7" s="42" t="s">
        <v>39</v>
      </c>
      <c r="M7" s="45">
        <v>232140</v>
      </c>
      <c r="N7" s="46">
        <v>185470</v>
      </c>
      <c r="O7" s="46">
        <v>110811</v>
      </c>
      <c r="P7" s="46">
        <v>53225</v>
      </c>
      <c r="Q7" s="46">
        <v>13642</v>
      </c>
    </row>
    <row r="8" spans="1:17">
      <c r="A8" s="59" t="s">
        <v>174</v>
      </c>
      <c r="B8" s="58">
        <v>89488</v>
      </c>
      <c r="C8" s="58">
        <v>101965</v>
      </c>
      <c r="D8" s="146"/>
      <c r="E8" s="146"/>
      <c r="F8" s="1" t="s">
        <v>138</v>
      </c>
      <c r="G8" s="14">
        <v>0.12</v>
      </c>
      <c r="H8" s="14">
        <v>0.15</v>
      </c>
      <c r="I8" s="146"/>
      <c r="J8" s="146"/>
      <c r="K8" s="44">
        <v>7</v>
      </c>
      <c r="L8" s="42" t="s">
        <v>44</v>
      </c>
      <c r="M8" s="48">
        <v>258146</v>
      </c>
      <c r="N8" s="49" t="s">
        <v>175</v>
      </c>
      <c r="O8" s="49" t="s">
        <v>176</v>
      </c>
      <c r="P8" s="49" t="s">
        <v>177</v>
      </c>
      <c r="Q8" s="49" t="s">
        <v>178</v>
      </c>
    </row>
    <row r="9" spans="1:17">
      <c r="A9" s="1" t="s">
        <v>140</v>
      </c>
      <c r="B9" s="11">
        <v>183</v>
      </c>
      <c r="C9" s="10">
        <v>1613</v>
      </c>
      <c r="D9" s="146"/>
      <c r="E9" s="146"/>
      <c r="F9" s="2" t="s">
        <v>179</v>
      </c>
      <c r="G9" s="8">
        <v>877</v>
      </c>
      <c r="H9" s="8">
        <v>738</v>
      </c>
      <c r="I9" s="146"/>
      <c r="J9" s="146"/>
      <c r="K9" s="44">
        <v>8</v>
      </c>
      <c r="L9" s="42" t="s">
        <v>34</v>
      </c>
      <c r="M9" s="47">
        <v>296515</v>
      </c>
      <c r="N9" s="46">
        <v>269676</v>
      </c>
      <c r="O9" s="46">
        <v>135896</v>
      </c>
      <c r="P9" s="46">
        <v>97762</v>
      </c>
      <c r="Q9" s="46">
        <v>28237</v>
      </c>
    </row>
    <row r="10" spans="1:17">
      <c r="A10" s="1" t="s">
        <v>143</v>
      </c>
      <c r="B10" s="10">
        <v>29314</v>
      </c>
      <c r="C10" s="10">
        <v>34810</v>
      </c>
      <c r="D10" s="146"/>
      <c r="E10" s="146"/>
      <c r="F10" s="1" t="s">
        <v>144</v>
      </c>
      <c r="G10" s="10">
        <v>7341</v>
      </c>
      <c r="H10" s="10">
        <v>7167</v>
      </c>
      <c r="I10" s="146"/>
      <c r="J10" s="146"/>
      <c r="K10" s="146"/>
      <c r="L10" s="146"/>
      <c r="M10" s="146"/>
      <c r="N10" s="146"/>
      <c r="O10" s="146"/>
      <c r="P10" s="146"/>
      <c r="Q10" s="146"/>
    </row>
    <row r="11" spans="1:17" ht="15" thickBot="1">
      <c r="A11" s="1" t="s">
        <v>146</v>
      </c>
      <c r="B11" s="10">
        <v>1655</v>
      </c>
      <c r="C11" s="11"/>
      <c r="D11" s="146"/>
      <c r="E11" s="146"/>
      <c r="F11" s="2" t="s">
        <v>147</v>
      </c>
      <c r="G11" s="9">
        <v>10421</v>
      </c>
      <c r="H11" s="9">
        <v>11955</v>
      </c>
      <c r="I11" s="146"/>
      <c r="J11" s="146"/>
      <c r="K11" s="146"/>
      <c r="L11" s="146"/>
      <c r="M11" s="146"/>
      <c r="N11" s="146"/>
      <c r="O11" s="146"/>
      <c r="P11" s="146"/>
      <c r="Q11" s="146"/>
    </row>
    <row r="12" spans="1:17" ht="15" thickBot="1">
      <c r="A12" s="1" t="s">
        <v>149</v>
      </c>
      <c r="B12" s="10">
        <v>58335</v>
      </c>
      <c r="C12" s="10">
        <v>70282</v>
      </c>
      <c r="D12" s="146"/>
      <c r="E12" s="146"/>
      <c r="F12" s="59" t="s">
        <v>150</v>
      </c>
      <c r="G12" s="58">
        <v>8413</v>
      </c>
      <c r="H12" s="58">
        <v>15969</v>
      </c>
      <c r="I12" s="146"/>
      <c r="J12" s="146"/>
      <c r="K12" s="146"/>
      <c r="L12" s="146"/>
      <c r="M12" s="146"/>
      <c r="N12" s="146"/>
      <c r="O12" s="146"/>
      <c r="P12" s="146"/>
      <c r="Q12" s="146"/>
    </row>
    <row r="13" spans="1:17" ht="15" thickBot="1">
      <c r="A13" s="60" t="s">
        <v>34</v>
      </c>
      <c r="B13" s="57">
        <v>275459</v>
      </c>
      <c r="C13" s="57">
        <v>296515</v>
      </c>
      <c r="D13" s="146"/>
      <c r="E13" s="146"/>
      <c r="F13" s="2" t="s">
        <v>152</v>
      </c>
      <c r="G13" s="15">
        <v>0.62</v>
      </c>
      <c r="H13" s="15">
        <v>0.32</v>
      </c>
      <c r="I13" s="146"/>
      <c r="J13" s="146"/>
      <c r="K13" s="146"/>
      <c r="L13" s="146"/>
      <c r="M13" s="146"/>
      <c r="N13" s="146"/>
      <c r="O13" s="146"/>
      <c r="P13" s="146"/>
      <c r="Q13" s="146"/>
    </row>
    <row r="14" spans="1:17">
      <c r="A14" s="1" t="s">
        <v>180</v>
      </c>
      <c r="B14" s="10">
        <v>150914</v>
      </c>
      <c r="C14" s="10">
        <v>179908</v>
      </c>
      <c r="D14" s="146"/>
      <c r="E14" s="146"/>
      <c r="F14" s="59" t="s">
        <v>181</v>
      </c>
      <c r="G14" s="58">
        <v>3174</v>
      </c>
      <c r="H14" s="58">
        <v>10886</v>
      </c>
      <c r="I14" s="146"/>
      <c r="J14" s="146"/>
      <c r="K14" s="146"/>
      <c r="L14" s="146"/>
      <c r="M14" s="146"/>
      <c r="N14" s="146"/>
      <c r="O14" s="146"/>
      <c r="P14" s="146"/>
      <c r="Q14" s="146"/>
    </row>
    <row r="15" spans="1:17">
      <c r="A15" s="2" t="s">
        <v>155</v>
      </c>
      <c r="B15" s="9">
        <v>41622</v>
      </c>
      <c r="C15" s="9">
        <v>28497</v>
      </c>
      <c r="D15" s="146"/>
      <c r="E15" s="146"/>
      <c r="F15" s="2" t="s">
        <v>156</v>
      </c>
      <c r="G15" s="8">
        <v>2.74</v>
      </c>
      <c r="H15" s="8">
        <v>8.65</v>
      </c>
      <c r="I15" s="146"/>
      <c r="J15" s="146"/>
      <c r="K15" s="146"/>
      <c r="L15" s="146"/>
      <c r="M15" s="146"/>
      <c r="N15" s="146"/>
      <c r="O15" s="146"/>
      <c r="P15" s="146"/>
      <c r="Q15" s="146"/>
    </row>
    <row r="16" spans="1:17" ht="15" thickBot="1">
      <c r="A16" s="1" t="s">
        <v>157</v>
      </c>
      <c r="B16" s="10">
        <v>6194</v>
      </c>
      <c r="C16" s="10">
        <v>7089</v>
      </c>
      <c r="D16" s="146"/>
      <c r="E16" s="146"/>
      <c r="F16" s="1" t="s">
        <v>158</v>
      </c>
      <c r="G16" s="14">
        <v>1.31</v>
      </c>
      <c r="H16" s="14">
        <v>0.46</v>
      </c>
      <c r="I16" s="146"/>
      <c r="J16" s="146"/>
      <c r="K16" s="146"/>
      <c r="L16" s="146"/>
      <c r="M16" s="146"/>
      <c r="N16" s="146"/>
      <c r="O16" s="146"/>
      <c r="P16" s="146"/>
      <c r="Q16" s="146"/>
    </row>
    <row r="17" spans="1:6">
      <c r="A17" s="60" t="s">
        <v>182</v>
      </c>
      <c r="B17" s="57">
        <v>76728</v>
      </c>
      <c r="C17" s="57">
        <v>81021</v>
      </c>
      <c r="D17" s="146"/>
      <c r="E17" s="146"/>
      <c r="F17" s="146"/>
    </row>
    <row r="18" spans="1:6">
      <c r="A18" s="2" t="s">
        <v>160</v>
      </c>
      <c r="B18" s="9">
        <v>44590</v>
      </c>
      <c r="C18" s="9">
        <v>47249</v>
      </c>
      <c r="D18" s="146"/>
      <c r="E18" s="146"/>
      <c r="F18" s="146"/>
    </row>
    <row r="19" spans="1:6">
      <c r="A19" s="2" t="s">
        <v>183</v>
      </c>
      <c r="B19" s="9">
        <v>5260</v>
      </c>
      <c r="C19" s="9">
        <v>4917</v>
      </c>
      <c r="D19" s="146"/>
      <c r="E19" s="146"/>
      <c r="F19" s="146"/>
    </row>
    <row r="20" spans="1:6">
      <c r="A20" s="2" t="s">
        <v>163</v>
      </c>
      <c r="B20" s="9">
        <v>11647</v>
      </c>
      <c r="C20" s="9">
        <v>10058</v>
      </c>
      <c r="D20" s="146"/>
      <c r="E20" s="146"/>
      <c r="F20" s="50"/>
    </row>
    <row r="21" spans="1:6">
      <c r="A21" s="2" t="s">
        <v>164</v>
      </c>
      <c r="B21" s="8">
        <v>-146</v>
      </c>
      <c r="C21" s="9">
        <v>1662</v>
      </c>
      <c r="D21" s="146"/>
      <c r="E21" s="146"/>
      <c r="F21" s="146"/>
    </row>
    <row r="22" spans="1:6" ht="15" thickBot="1">
      <c r="A22" s="2" t="s">
        <v>165</v>
      </c>
      <c r="B22" s="9">
        <v>15377</v>
      </c>
      <c r="C22" s="9">
        <v>21875</v>
      </c>
      <c r="D22" s="146"/>
      <c r="E22" s="146"/>
      <c r="F22" s="146"/>
    </row>
    <row r="23" spans="1:6">
      <c r="A23" s="59" t="s">
        <v>32</v>
      </c>
      <c r="B23" s="58">
        <v>275459</v>
      </c>
      <c r="C23" s="58">
        <v>296515</v>
      </c>
      <c r="D23" s="146"/>
      <c r="E23" s="146"/>
      <c r="F23" s="146"/>
    </row>
  </sheetData>
  <conditionalFormatting sqref="M2:M9">
    <cfRule type="containsBlanks" dxfId="0" priority="1">
      <formula>LEN(TRIM(M2))=0</formula>
    </cfRule>
  </conditionalFormatting>
  <hyperlinks>
    <hyperlink ref="A2" r:id="rId1" location="balance-sheet" display="https://www.screener.in/company/TATASTEEL/ - balance-sheet" xr:uid="{4A6A5D55-7D03-4ED5-A001-BCA4F9ADD5CB}"/>
    <hyperlink ref="F2" r:id="rId2" location="profit-loss" display="https://www.screener.in/company/TATASTEEL/ - profit-loss" xr:uid="{81A4917B-5493-4E7B-9356-A919EF324A7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LAAyAF0ALAAiAGQAZQBjAGkAbQBhAGwAUwBlAHAAYQByAGEAdABvAHIAIgA6ACIALgAiACwAIgBkAGEAdABlAE8AcgBkAGUAcgAiADoAIgBEAE0AWQAiACwAIgBjAHUAcgByAGUAbgBjAHkAUwB5AG0AYgBvAGwAIgA6ACIAuSAiACwAIgBpAHMAQwB1AHIAcgBlAG4AYwB5AFMAeQBtAGIAbwBsAEwAZQBhAGQAIgA6AHQAcgB1AGUALAAiAGkAcwBDAHUAcgByAGUAbgBjAHkAUwBlAHAAQgB5AFMAcABhAGMAZQAiADoAdAByAHU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Props1.xml><?xml version="1.0" encoding="utf-8"?>
<ds:datastoreItem xmlns:ds="http://schemas.openxmlformats.org/officeDocument/2006/customXml" ds:itemID="{A364DECE-9818-4D7A-B3EE-CEC445AAA2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Helan Preethi</dc:creator>
  <cp:keywords/>
  <dc:description/>
  <cp:lastModifiedBy/>
  <cp:revision/>
  <dcterms:created xsi:type="dcterms:W3CDTF">2026-06-05T13:27:12Z</dcterms:created>
  <dcterms:modified xsi:type="dcterms:W3CDTF">2026-10-09T15:16:01Z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1a97f3ab-2cf0-4253-9fe4-05f2be0f69ca</vt:lpwstr>
  </property>
</Properties>
</file>